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epfgovmy.sharepoint.com/sites/DigitalJourneyUIUX/Shared Documents/UX Lab/Research+Analysis Report/2026/App Audit/"/>
    </mc:Choice>
  </mc:AlternateContent>
  <xr:revisionPtr revIDLastSave="937" documentId="8_{6765C0C3-D052-4429-A154-49EEAA54E36C}" xr6:coauthVersionLast="47" xr6:coauthVersionMax="47" xr10:uidLastSave="{D35F59E6-79C9-4AD2-86EC-A899FE514BA1}"/>
  <bookViews>
    <workbookView minimized="1" xWindow="0" yWindow="2955" windowWidth="17280" windowHeight="9960" tabRatio="500" activeTab="1" xr2:uid="{00000000-000D-0000-FFFF-FFFF00000000}"/>
  </bookViews>
  <sheets>
    <sheet name="Dashboard" sheetId="2" r:id="rId1"/>
    <sheet name="Task Tracker" sheetId="3" r:id="rId2"/>
    <sheet name="MY Holidays" sheetId="6" r:id="rId3"/>
    <sheet name="Gantt" sheetId="7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5" i="2" l="1" a="1"/>
  <c r="B25" i="2" s="1"/>
  <c r="B26" i="2" a="1"/>
  <c r="B26" i="2" s="1"/>
  <c r="B24" i="2" a="1"/>
  <c r="B24" i="2" s="1"/>
  <c r="I8" i="3"/>
  <c r="E8" i="3" s="1"/>
  <c r="C14" i="2" a="1"/>
  <c r="C14" i="2" s="1"/>
  <c r="C13" i="2" a="1"/>
  <c r="C13" i="2" s="1"/>
  <c r="C12" i="2" a="1"/>
  <c r="C12" i="2" s="1"/>
  <c r="C15" i="2" a="1"/>
  <c r="C15" i="2" s="1"/>
  <c r="C16" i="2" a="1"/>
  <c r="C16" i="2" s="1"/>
  <c r="C17" i="2" a="1"/>
  <c r="C17" i="2" s="1"/>
  <c r="C18" i="2" a="1"/>
  <c r="C18" i="2" s="1"/>
  <c r="C19" i="2" a="1"/>
  <c r="C19" i="2" s="1"/>
  <c r="H3" i="2"/>
  <c r="D6" i="2" s="1"/>
  <c r="H46" i="3"/>
  <c r="J8" i="3" l="1"/>
  <c r="M8" i="3" s="1"/>
  <c r="C20" i="2"/>
  <c r="B27" i="2"/>
  <c r="N8" i="3" l="1"/>
  <c r="O8" i="3"/>
  <c r="P8" i="3"/>
  <c r="F8" i="3"/>
  <c r="I9" i="3"/>
  <c r="J9" i="3" l="1"/>
  <c r="M9" i="3" s="1"/>
  <c r="E9" i="3"/>
  <c r="N9" i="3" l="1"/>
  <c r="O9" i="3"/>
  <c r="P9" i="3"/>
  <c r="I10" i="3"/>
  <c r="F9" i="3"/>
  <c r="E10" i="3" l="1"/>
  <c r="J10" i="3"/>
  <c r="M10" i="3" s="1"/>
  <c r="N10" i="3" l="1"/>
  <c r="O10" i="3"/>
  <c r="P10" i="3"/>
  <c r="I11" i="3"/>
  <c r="F10" i="3"/>
  <c r="E11" i="3" l="1"/>
  <c r="J11" i="3"/>
  <c r="M11" i="3" s="1"/>
  <c r="I20" i="3" l="1"/>
  <c r="O11" i="3"/>
  <c r="I23" i="3"/>
  <c r="P11" i="3"/>
  <c r="N11" i="3"/>
  <c r="I12" i="3"/>
  <c r="F11" i="3"/>
  <c r="J20" i="3" l="1"/>
  <c r="P20" i="3" s="1"/>
  <c r="E20" i="3"/>
  <c r="E23" i="3"/>
  <c r="J23" i="3"/>
  <c r="M23" i="3" s="1"/>
  <c r="E12" i="3"/>
  <c r="J12" i="3"/>
  <c r="O20" i="3" l="1"/>
  <c r="P12" i="3"/>
  <c r="I13" i="3"/>
  <c r="F20" i="3"/>
  <c r="I21" i="3"/>
  <c r="J21" i="3" s="1"/>
  <c r="M20" i="3"/>
  <c r="N20" i="3" s="1"/>
  <c r="M12" i="3"/>
  <c r="N12" i="3" s="1"/>
  <c r="N23" i="3"/>
  <c r="O23" i="3"/>
  <c r="I24" i="3"/>
  <c r="F23" i="3"/>
  <c r="P23" i="3"/>
  <c r="F12" i="3"/>
  <c r="O12" i="3"/>
  <c r="J13" i="3" l="1"/>
  <c r="P13" i="3" s="1"/>
  <c r="E13" i="3"/>
  <c r="I12" i="2" a="1"/>
  <c r="I12" i="2" s="1"/>
  <c r="M21" i="3"/>
  <c r="N21" i="3" s="1"/>
  <c r="I22" i="3"/>
  <c r="E22" i="3" s="1"/>
  <c r="O21" i="3"/>
  <c r="F21" i="3"/>
  <c r="P21" i="3"/>
  <c r="E21" i="3"/>
  <c r="I15" i="2" a="1"/>
  <c r="I15" i="2" s="1"/>
  <c r="E24" i="3"/>
  <c r="J24" i="3"/>
  <c r="I14" i="2" a="1"/>
  <c r="I14" i="2" s="1"/>
  <c r="M13" i="3" l="1"/>
  <c r="N13" i="3" s="1"/>
  <c r="I14" i="3"/>
  <c r="F13" i="3"/>
  <c r="O13" i="3"/>
  <c r="J12" i="2" a="1"/>
  <c r="J12" i="2" s="1"/>
  <c r="J22" i="3"/>
  <c r="P22" i="3" s="1"/>
  <c r="M24" i="3"/>
  <c r="N24" i="3" s="1"/>
  <c r="I28" i="3"/>
  <c r="O24" i="3"/>
  <c r="J15" i="2" a="1"/>
  <c r="J15" i="2" s="1"/>
  <c r="F24" i="3"/>
  <c r="P24" i="3"/>
  <c r="J14" i="2" a="1"/>
  <c r="J14" i="2" s="1"/>
  <c r="O22" i="3" l="1"/>
  <c r="F22" i="3"/>
  <c r="M22" i="3"/>
  <c r="N22" i="3" s="1"/>
  <c r="J14" i="3"/>
  <c r="M14" i="3" s="1"/>
  <c r="N14" i="3" s="1"/>
  <c r="E14" i="3"/>
  <c r="E28" i="3"/>
  <c r="J28" i="3"/>
  <c r="P14" i="3" l="1"/>
  <c r="O14" i="3"/>
  <c r="F14" i="3"/>
  <c r="I15" i="3"/>
  <c r="M28" i="3"/>
  <c r="N28" i="3" s="1"/>
  <c r="O28" i="3"/>
  <c r="F28" i="3"/>
  <c r="I29" i="3"/>
  <c r="P28" i="3"/>
  <c r="J15" i="3" l="1"/>
  <c r="M15" i="3" s="1"/>
  <c r="N15" i="3" s="1"/>
  <c r="E15" i="3"/>
  <c r="E29" i="3"/>
  <c r="J29" i="3"/>
  <c r="I30" i="3" s="1"/>
  <c r="P15" i="3" l="1"/>
  <c r="F15" i="3"/>
  <c r="I16" i="3"/>
  <c r="O15" i="3"/>
  <c r="J30" i="3"/>
  <c r="M30" i="3" s="1"/>
  <c r="M29" i="3"/>
  <c r="N29" i="3" s="1"/>
  <c r="E30" i="3"/>
  <c r="O29" i="3"/>
  <c r="F29" i="3"/>
  <c r="P29" i="3"/>
  <c r="I25" i="3"/>
  <c r="E16" i="3" l="1"/>
  <c r="J16" i="3"/>
  <c r="M16" i="3" s="1"/>
  <c r="N16" i="3" s="1"/>
  <c r="I31" i="3"/>
  <c r="J31" i="3" s="1"/>
  <c r="P30" i="3"/>
  <c r="F30" i="3"/>
  <c r="O30" i="3"/>
  <c r="N30" i="3"/>
  <c r="E25" i="3"/>
  <c r="J25" i="3"/>
  <c r="M25" i="3" s="1"/>
  <c r="P16" i="3" l="1"/>
  <c r="I17" i="3"/>
  <c r="F16" i="3"/>
  <c r="O16" i="3"/>
  <c r="E31" i="3"/>
  <c r="M31" i="3"/>
  <c r="N31" i="3" s="1"/>
  <c r="N25" i="3"/>
  <c r="O25" i="3"/>
  <c r="I32" i="3"/>
  <c r="O31" i="3"/>
  <c r="F31" i="3"/>
  <c r="P31" i="3"/>
  <c r="P25" i="3"/>
  <c r="I26" i="3"/>
  <c r="F25" i="3"/>
  <c r="E17" i="3" l="1"/>
  <c r="J17" i="3"/>
  <c r="M17" i="3" s="1"/>
  <c r="N17" i="3" s="1"/>
  <c r="J32" i="3"/>
  <c r="M32" i="3" s="1"/>
  <c r="E32" i="3"/>
  <c r="J26" i="3"/>
  <c r="I27" i="3" s="1"/>
  <c r="E26" i="3"/>
  <c r="P17" i="3" l="1"/>
  <c r="O17" i="3"/>
  <c r="I18" i="3"/>
  <c r="F17" i="3"/>
  <c r="M26" i="3"/>
  <c r="N26" i="3" s="1"/>
  <c r="J27" i="3"/>
  <c r="P27" i="3" s="1"/>
  <c r="E27" i="3"/>
  <c r="I16" i="2" a="1"/>
  <c r="I16" i="2" s="1"/>
  <c r="F26" i="3"/>
  <c r="O26" i="3"/>
  <c r="P26" i="3"/>
  <c r="I33" i="3"/>
  <c r="O32" i="3"/>
  <c r="F32" i="3"/>
  <c r="N32" i="3"/>
  <c r="P32" i="3"/>
  <c r="J16" i="2" a="1"/>
  <c r="J16" i="2" s="1"/>
  <c r="E18" i="3" l="1"/>
  <c r="J18" i="3"/>
  <c r="P18" i="3" s="1"/>
  <c r="M27" i="3"/>
  <c r="N27" i="3" s="1"/>
  <c r="F27" i="3"/>
  <c r="O27" i="3"/>
  <c r="J33" i="3"/>
  <c r="E33" i="3"/>
  <c r="M18" i="3" l="1"/>
  <c r="N18" i="3" s="1"/>
  <c r="F18" i="3"/>
  <c r="O18" i="3"/>
  <c r="I19" i="3"/>
  <c r="M33" i="3"/>
  <c r="N33" i="3" s="1"/>
  <c r="I34" i="3"/>
  <c r="O33" i="3"/>
  <c r="F33" i="3"/>
  <c r="P33" i="3"/>
  <c r="E19" i="3" l="1"/>
  <c r="J19" i="3"/>
  <c r="M19" i="3" s="1"/>
  <c r="N19" i="3" s="1"/>
  <c r="J34" i="3"/>
  <c r="E34" i="3"/>
  <c r="P19" i="3" l="1"/>
  <c r="O19" i="3"/>
  <c r="F19" i="3"/>
  <c r="M34" i="3"/>
  <c r="N34" i="3" s="1"/>
  <c r="I35" i="3"/>
  <c r="O34" i="3"/>
  <c r="F34" i="3"/>
  <c r="P34" i="3"/>
  <c r="J35" i="3" l="1"/>
  <c r="M35" i="3" s="1"/>
  <c r="E35" i="3"/>
  <c r="I36" i="3" l="1"/>
  <c r="O35" i="3"/>
  <c r="F35" i="3"/>
  <c r="N35" i="3"/>
  <c r="P35" i="3"/>
  <c r="J36" i="3" l="1"/>
  <c r="E36" i="3"/>
  <c r="I17" i="2" a="1"/>
  <c r="I17" i="2" s="1"/>
  <c r="M36" i="3" l="1"/>
  <c r="N36" i="3" s="1"/>
  <c r="I37" i="3"/>
  <c r="O36" i="3"/>
  <c r="F36" i="3"/>
  <c r="J17" i="2" a="1"/>
  <c r="J17" i="2" s="1"/>
  <c r="P36" i="3"/>
  <c r="J37" i="3" l="1"/>
  <c r="E37" i="3"/>
  <c r="M37" i="3" l="1"/>
  <c r="N37" i="3" s="1"/>
  <c r="I38" i="3"/>
  <c r="O37" i="3"/>
  <c r="F37" i="3"/>
  <c r="P37" i="3"/>
  <c r="J38" i="3" l="1"/>
  <c r="E38" i="3"/>
  <c r="M38" i="3" l="1"/>
  <c r="N38" i="3" s="1"/>
  <c r="I39" i="3"/>
  <c r="O38" i="3"/>
  <c r="F38" i="3"/>
  <c r="P38" i="3"/>
  <c r="J39" i="3" l="1"/>
  <c r="P39" i="3" s="1"/>
  <c r="E39" i="3"/>
  <c r="M39" i="3" l="1"/>
  <c r="N39" i="3" s="1"/>
  <c r="I40" i="3"/>
  <c r="O39" i="3"/>
  <c r="F39" i="3"/>
  <c r="J13" i="2" a="1"/>
  <c r="J13" i="2" s="1"/>
  <c r="J40" i="3" l="1"/>
  <c r="P40" i="3" s="1"/>
  <c r="E40" i="3"/>
  <c r="M40" i="3" l="1"/>
  <c r="N40" i="3" s="1"/>
  <c r="I41" i="3"/>
  <c r="O40" i="3"/>
  <c r="F40" i="3"/>
  <c r="I13" i="2" a="1"/>
  <c r="I13" i="2" s="1"/>
  <c r="J41" i="3" l="1"/>
  <c r="P41" i="3" s="1"/>
  <c r="E41" i="3"/>
  <c r="M41" i="3" l="1"/>
  <c r="N41" i="3" s="1"/>
  <c r="I42" i="3"/>
  <c r="O41" i="3"/>
  <c r="F41" i="3"/>
  <c r="J42" i="3" l="1"/>
  <c r="P42" i="3" s="1"/>
  <c r="E42" i="3"/>
  <c r="I18" i="2" a="1"/>
  <c r="I18" i="2" s="1"/>
  <c r="M42" i="3" l="1"/>
  <c r="I43" i="3"/>
  <c r="O42" i="3"/>
  <c r="F42" i="3"/>
  <c r="J18" i="2" a="1"/>
  <c r="J18" i="2" s="1"/>
  <c r="J43" i="3" l="1"/>
  <c r="P43" i="3" s="1"/>
  <c r="E43" i="3"/>
  <c r="N42" i="3"/>
  <c r="M43" i="3" l="1"/>
  <c r="I44" i="3"/>
  <c r="O43" i="3"/>
  <c r="F43" i="3"/>
  <c r="J44" i="3" l="1"/>
  <c r="P44" i="3" s="1"/>
  <c r="E44" i="3"/>
  <c r="I19" i="2" a="1"/>
  <c r="I19" i="2" s="1"/>
  <c r="N43" i="3"/>
  <c r="M44" i="3" l="1"/>
  <c r="B13" i="2" a="1"/>
  <c r="B13" i="2" s="1"/>
  <c r="O44" i="3"/>
  <c r="F44" i="3"/>
  <c r="B15" i="2" s="1" a="1"/>
  <c r="B15" i="2" s="1"/>
  <c r="J19" i="2" a="1"/>
  <c r="J19" i="2" s="1"/>
  <c r="E3" i="2"/>
  <c r="B14" i="2" l="1" a="1"/>
  <c r="B14" i="2" s="1"/>
  <c r="B18" i="2" a="1"/>
  <c r="B18" i="2" s="1"/>
  <c r="B19" i="2" a="1"/>
  <c r="B19" i="2" s="1"/>
  <c r="B16" i="2" a="1"/>
  <c r="B16" i="2" s="1"/>
  <c r="B12" i="2" a="1"/>
  <c r="B12" i="2" s="1"/>
  <c r="B17" i="2" a="1"/>
  <c r="B17" i="2" s="1"/>
  <c r="N44" i="3"/>
  <c r="N46" i="3" s="1"/>
  <c r="E19" i="2" a="1"/>
  <c r="E19" i="2" s="1"/>
  <c r="F12" i="2" a="1"/>
  <c r="F12" i="2" s="1"/>
  <c r="F19" i="2" a="1"/>
  <c r="F19" i="2" s="1"/>
  <c r="F17" i="2" a="1"/>
  <c r="F17" i="2" s="1"/>
  <c r="D15" i="2" a="1"/>
  <c r="D15" i="2" s="1"/>
  <c r="E15" i="2" a="1"/>
  <c r="E15" i="2" s="1"/>
  <c r="D14" i="2" a="1"/>
  <c r="D14" i="2" s="1"/>
  <c r="D19" i="2" a="1"/>
  <c r="D19" i="2" s="1"/>
  <c r="E12" i="2" a="1"/>
  <c r="E12" i="2" s="1"/>
  <c r="E16" i="2" a="1"/>
  <c r="E16" i="2" s="1"/>
  <c r="E13" i="2" a="1"/>
  <c r="E13" i="2" s="1"/>
  <c r="D17" i="2" a="1"/>
  <c r="D17" i="2" s="1"/>
  <c r="E18" i="2" a="1"/>
  <c r="E18" i="2" s="1"/>
  <c r="D13" i="2" a="1"/>
  <c r="D13" i="2" s="1"/>
  <c r="F14" i="2" a="1"/>
  <c r="F14" i="2" s="1"/>
  <c r="N3" i="2"/>
  <c r="E14" i="2" a="1"/>
  <c r="E14" i="2" s="1"/>
  <c r="F15" i="2" a="1"/>
  <c r="F15" i="2" s="1"/>
  <c r="F16" i="2" a="1"/>
  <c r="F16" i="2" s="1"/>
  <c r="D12" i="2" a="1"/>
  <c r="D12" i="2" s="1"/>
  <c r="E17" i="2" a="1"/>
  <c r="E17" i="2" s="1"/>
  <c r="D18" i="2" a="1"/>
  <c r="D18" i="2" s="1"/>
  <c r="D16" i="2" a="1"/>
  <c r="D16" i="2" s="1"/>
  <c r="F18" i="2" a="1"/>
  <c r="F18" i="2" s="1"/>
  <c r="G6" i="2"/>
  <c r="F13" i="2" a="1"/>
  <c r="F13" i="2" s="1"/>
  <c r="H15" i="2" l="1" a="1"/>
  <c r="H15" i="2" s="1"/>
  <c r="H13" i="2" a="1"/>
  <c r="H13" i="2" s="1"/>
  <c r="H19" i="2" a="1"/>
  <c r="H19" i="2" s="1"/>
  <c r="H16" i="2" a="1"/>
  <c r="H16" i="2" s="1"/>
  <c r="C24" i="2" a="1"/>
  <c r="C24" i="2" s="1"/>
  <c r="C25" i="2" a="1"/>
  <c r="C25" i="2" s="1"/>
  <c r="C26" i="2" a="1"/>
  <c r="C26" i="2" s="1"/>
  <c r="G13" i="2" a="1"/>
  <c r="G13" i="2" s="1"/>
  <c r="H14" i="2" a="1"/>
  <c r="H14" i="2" s="1"/>
  <c r="H17" i="2" a="1"/>
  <c r="H17" i="2" s="1"/>
  <c r="H18" i="2" a="1"/>
  <c r="H18" i="2" s="1"/>
  <c r="F20" i="2"/>
  <c r="D20" i="2"/>
  <c r="G20" i="2" s="1"/>
  <c r="E20" i="2"/>
  <c r="H12" i="2" a="1"/>
  <c r="H12" i="2" s="1"/>
  <c r="G17" i="2" a="1"/>
  <c r="G17" i="2" s="1"/>
  <c r="G12" i="2" a="1"/>
  <c r="G12" i="2" s="1"/>
  <c r="G14" i="2" a="1"/>
  <c r="G14" i="2" s="1"/>
  <c r="G16" i="2" a="1"/>
  <c r="G16" i="2" s="1"/>
  <c r="G19" i="2" a="1"/>
  <c r="G19" i="2" s="1"/>
  <c r="G15" i="2" a="1"/>
  <c r="G15" i="2" s="1"/>
  <c r="G18" i="2" a="1"/>
  <c r="G18" i="2" s="1"/>
  <c r="A6" i="2"/>
  <c r="J6" i="2"/>
  <c r="M6" i="2"/>
  <c r="D24" i="2" l="1"/>
  <c r="E24" i="2"/>
  <c r="E26" i="2"/>
  <c r="E25" i="2"/>
  <c r="C27" i="2"/>
  <c r="E27" i="2" l="1"/>
  <c r="D27" i="2"/>
  <c r="D25" i="2" l="1"/>
  <c r="D2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tc={C4C790AE-385B-4C6D-9139-FC7220E354CA}</author>
    <author>tc={B379AC4E-D9C3-4D34-B0AE-67BCFB02ACEF}</author>
  </authors>
  <commentList>
    <comment ref="H17" authorId="0" shapeId="0" xr:uid="{C4C790AE-385B-4C6D-9139-FC7220E354CA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@Suvinithira a/p Nadesan  shouldn’t take more than 2 days for app trust and security standards &amp; WCAG. 1 day is enough. Its not that difficult.</t>
      </text>
    </comment>
    <comment ref="G26" authorId="1" shapeId="0" xr:uid="{B379AC4E-D9C3-4D34-B0AE-67BCFB02ACE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@Suvinithira a/p Nadesan , all this (18-20) can run concurrently, putting in mind that you have proteges to assist you with the arrangements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<sst xmlns="http://schemas.openxmlformats.org/spreadsheetml/2006/main" count="262" uniqueCount="161">
  <si>
    <t>KWSP i-Akaun UX Audit - Project Dashboard</t>
  </si>
  <si>
    <t>Live tracker: overall progress, health, mandays and key alerts · Auto-updates from all sheets</t>
  </si>
  <si>
    <t>Project Start Date:</t>
  </si>
  <si>
    <t>&lt;- Enter project start date here</t>
  </si>
  <si>
    <t>End Date:</t>
  </si>
  <si>
    <t>← auto: Start + 14 weeks</t>
  </si>
  <si>
    <t>Today:</t>
  </si>
  <si>
    <t>UXR Lead:</t>
  </si>
  <si>
    <t>Faznur</t>
  </si>
  <si>
    <t>Status:</t>
  </si>
  <si>
    <t>OVERALL PROGRESS</t>
  </si>
  <si>
    <t>TASKS COMPLETE</t>
  </si>
  <si>
    <t>TASKS DELAYED</t>
  </si>
  <si>
    <t>MANDAYS USED</t>
  </si>
  <si>
    <t>MANDAYS REMAINING</t>
  </si>
  <si>
    <t>Weeks</t>
  </si>
  <si>
    <t>Total Tasks</t>
  </si>
  <si>
    <t>Complete</t>
  </si>
  <si>
    <t>In Progress</t>
  </si>
  <si>
    <t>Not Started</t>
  </si>
  <si>
    <t>% Done</t>
  </si>
  <si>
    <t>Status</t>
  </si>
  <si>
    <t>Expected Start</t>
  </si>
  <si>
    <t>Expected End</t>
  </si>
  <si>
    <t>Setup</t>
  </si>
  <si>
    <t>Field Research</t>
  </si>
  <si>
    <t>Analysis</t>
  </si>
  <si>
    <t>Recommendations</t>
  </si>
  <si>
    <t>Reporting</t>
  </si>
  <si>
    <t>TOTAL</t>
  </si>
  <si>
    <t>S</t>
  </si>
  <si>
    <t>Role</t>
  </si>
  <si>
    <t>Total Mandays Planned</t>
  </si>
  <si>
    <t>Mandays Used</t>
  </si>
  <si>
    <t>Remaining</t>
  </si>
  <si>
    <t>% Used</t>
  </si>
  <si>
    <t>UXR Lead</t>
  </si>
  <si>
    <t>UXR Ast</t>
  </si>
  <si>
    <t>Data Team</t>
  </si>
  <si>
    <t>All (Total)</t>
  </si>
  <si>
    <t>KWSP i-Akaun UX Audit - Task Tracker</t>
  </si>
  <si>
    <t>#</t>
  </si>
  <si>
    <t>Workstream</t>
  </si>
  <si>
    <t>Owner</t>
  </si>
  <si>
    <t>Task / Deliverable</t>
  </si>
  <si>
    <t>Plan Start
(Week)</t>
  </si>
  <si>
    <t>Plan End
(Week)</t>
  </si>
  <si>
    <t>Mandays</t>
  </si>
  <si>
    <t>Plan Start</t>
  </si>
  <si>
    <t>Plan End</t>
  </si>
  <si>
    <t>Start Date</t>
  </si>
  <si>
    <t>Actual End</t>
  </si>
  <si>
    <t>% Complete</t>
  </si>
  <si>
    <t>Days Delayed</t>
  </si>
  <si>
    <t>Notes / Blockers</t>
  </si>
  <si>
    <t>URL Files</t>
  </si>
  <si>
    <t xml:space="preserve">Setup </t>
  </si>
  <si>
    <t>Research Planning</t>
  </si>
  <si>
    <t>HOS &amp; HOD Approval on Research Plan</t>
  </si>
  <si>
    <t>Pn Zanita / Pn Jamilah</t>
  </si>
  <si>
    <t>Faizul Azhair</t>
  </si>
  <si>
    <t>Conduct Nielsen's 10 Usability Heuristics</t>
  </si>
  <si>
    <t>Conduct Mobile-specific usability principles</t>
  </si>
  <si>
    <t>Touch targets, gestures, orientation, loading states, offline behaviour</t>
  </si>
  <si>
    <t>Conduct app trust &amp; security standards</t>
  </si>
  <si>
    <t>Custom checklist — error messaging, confirmations, transparency</t>
  </si>
  <si>
    <t>Conduct WCAG 2.1 AA accessibility compliance</t>
  </si>
  <si>
    <t>UXR Ast/Content</t>
  </si>
  <si>
    <t>Conduct Content &amp; language clarity</t>
  </si>
  <si>
    <t>Tone, reading level, multi-language quality across all screens</t>
  </si>
  <si>
    <t>UXR Ast/UIUX</t>
  </si>
  <si>
    <t>Conduct Design consistency audit</t>
  </si>
  <si>
    <t>UI patterns, spacing, typography, iconography</t>
  </si>
  <si>
    <t>Conduct Competitive Benchmarking</t>
  </si>
  <si>
    <t>Build feature comparison matrix</t>
  </si>
  <si>
    <t>Conduct In-app analytics</t>
  </si>
  <si>
    <t>User profile, overview</t>
  </si>
  <si>
    <t>Conduct Drop-off / funnel analysis</t>
  </si>
  <si>
    <t>Conduct App crash and error reports</t>
  </si>
  <si>
    <t>Finalise UT Plan &amp; Endorsement</t>
  </si>
  <si>
    <t>Prototype and Question Readiness</t>
  </si>
  <si>
    <t>Prototype: 8 days, Questions: 5 days</t>
  </si>
  <si>
    <t>Moderator Recruitment</t>
  </si>
  <si>
    <t>UT Materials Prep + Dry Run</t>
  </si>
  <si>
    <t>UT Field day</t>
  </si>
  <si>
    <t>UT Report Compilation</t>
  </si>
  <si>
    <t>Consolidate Findings</t>
  </si>
  <si>
    <t>Build consolidated issue list (remove duplicates)</t>
  </si>
  <si>
    <t>Score issues: severity × frequency × impact</t>
  </si>
  <si>
    <t>Draft 4–5 user personas from research data</t>
  </si>
  <si>
    <t>Draw current-state journey maps (top 5 flows)</t>
  </si>
  <si>
    <t>Build effort vs. impact matrix for all recommendations</t>
  </si>
  <si>
    <t>Identify 10–15 quick wins</t>
  </si>
  <si>
    <t>Identify 3–5 strategic initiatives</t>
  </si>
  <si>
    <t>Build phased 12-month implementation roadmap</t>
  </si>
  <si>
    <t>Slide touch up and summary</t>
  </si>
  <si>
    <t>Internal Sharing</t>
  </si>
  <si>
    <t>Incorporate review feedback into final report</t>
  </si>
  <si>
    <t>Presentation Week</t>
  </si>
  <si>
    <t>TOTAL MANDAYS</t>
  </si>
  <si>
    <t>Malaysia Federal Public Holidays - 2025 &amp; 2026</t>
  </si>
  <si>
    <t>Named range 'MYHolidays' = A4:A60 · Formula: =WORKDAY(M11, D11, MYHolidays) · Add state holidays in yellow rows below</t>
  </si>
  <si>
    <t>Date</t>
  </si>
  <si>
    <t>Holiday Name</t>
  </si>
  <si>
    <t>Type</t>
  </si>
  <si>
    <t>Day</t>
  </si>
  <si>
    <t>01/01/2026</t>
  </si>
  <si>
    <t>New Year's Day</t>
  </si>
  <si>
    <t>Thu</t>
  </si>
  <si>
    <t>Chinese New Year</t>
  </si>
  <si>
    <t>Chinese New Year (2nd day)</t>
  </si>
  <si>
    <t>Fri</t>
  </si>
  <si>
    <t>Hari Raya Aidilfitri</t>
  </si>
  <si>
    <t>Hari Raya Aidilfitri (2nd day)</t>
  </si>
  <si>
    <t>Sat</t>
  </si>
  <si>
    <t>Hari Raya Aidilfitri (in lieu)</t>
  </si>
  <si>
    <t>Mon</t>
  </si>
  <si>
    <t>Labour Day</t>
  </si>
  <si>
    <t>Hari Raya Aidiladha</t>
  </si>
  <si>
    <t>Wesak Day</t>
  </si>
  <si>
    <t>Sun</t>
  </si>
  <si>
    <t>Yang di-Pertuan Agong's Birthday</t>
  </si>
  <si>
    <t>Awal Muharram (Islamic New Year)</t>
  </si>
  <si>
    <t>Prophet Muhammad's Birthday</t>
  </si>
  <si>
    <t>National Day (Merdeka)</t>
  </si>
  <si>
    <t>Malaysia Day</t>
  </si>
  <si>
    <t>Wed</t>
  </si>
  <si>
    <t>Deepavali</t>
  </si>
  <si>
    <t>Deepavali (in lieu)</t>
  </si>
  <si>
    <t>Christmas Day</t>
  </si>
  <si>
    <t>Suvi OOO</t>
  </si>
  <si>
    <t>Carry forward Wesak</t>
  </si>
  <si>
    <t>Tue</t>
  </si>
  <si>
    <t>READY-TO-USE FORMULAS</t>
  </si>
  <si>
    <t>Actual End Date from Start + Mandays (excl. weekends &amp; PH)</t>
  </si>
  <si>
    <t>WORKDAY( ActualStart , Mandays , MYHolidays )</t>
  </si>
  <si>
    <t>Working days between two dates (excl. weekends &amp; PH)</t>
  </si>
  <si>
    <t>NETWORKDAYS( StartDate , EndDate , MYHolidays ) - 1</t>
  </si>
  <si>
    <t>Days overrun - actual vs planned end (working days)</t>
  </si>
  <si>
    <t>MAX( 0 , NETWORKDAYS( PlannedEnd , ActualEnd , MYHolidays ) - 1 )</t>
  </si>
  <si>
    <t>Planned end date from project start + week number</t>
  </si>
  <si>
    <t>WORKDAY( ProjectStart , WeekNum * 5 , MYHolidays )</t>
  </si>
  <si>
    <t>Pending Microservices list to shortlist - from data team</t>
  </si>
  <si>
    <t>Heuristics Study</t>
  </si>
  <si>
    <t>Analytics Review</t>
  </si>
  <si>
    <t>Benchmarking and Peer Study</t>
  </si>
  <si>
    <t>Faz OOO</t>
  </si>
  <si>
    <t>Faz send email to all HOU &gt; Suvi follow-up</t>
  </si>
  <si>
    <t>UT i-Invest</t>
  </si>
  <si>
    <t>Checkpoint</t>
  </si>
  <si>
    <t>Debriefing to working team + assimilation</t>
  </si>
  <si>
    <t>Off days taken</t>
  </si>
  <si>
    <t>Branch Engagement + Confirmation</t>
  </si>
  <si>
    <t>Resource Hunting + Material Prep</t>
  </si>
  <si>
    <t>UXR Lead, UXR Ast</t>
  </si>
  <si>
    <t>Task concurrency</t>
  </si>
  <si>
    <t>Request RCM + IM Data</t>
  </si>
  <si>
    <t>RCM + Data Analysis</t>
  </si>
  <si>
    <t>Automated tools (axe, WAVE) + manual walkthrough with screen readers. Benchmark with other apps. Population affected. Special case for security: password for blind people how secure if read out</t>
  </si>
  <si>
    <t>Malaysia Assoc Blind</t>
  </si>
  <si>
    <t>Feature comparison matrix, Visual and UI design quality, accessibility benchmarking,
Information architecture, App store UX review mining, Innovation gap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</si>
</sst>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14409]d\ mmmm\,\ yyyy;@"/>
  </numFmts>
  <fonts count="37" x14ac:knownFonts="1">
    <font>
      <sz val="11"/>
      <color theme="1"/>
      <name val="Calibri"/>
      <family val="2"/>
      <charset val="1"/>
    </font>
    <font>
      <b/>
      <sz val="13"/>
      <color rgb="FFFFFFFF"/>
      <name val="Calibri"/>
      <charset val="1"/>
    </font>
    <font>
      <i/>
      <sz val="8"/>
      <color rgb="FF93B8E8"/>
      <name val="Calibri"/>
      <charset val="1"/>
    </font>
    <font>
      <b/>
      <sz val="9"/>
      <color rgb="FF1B3A6B"/>
      <name val="Calibri"/>
      <charset val="1"/>
    </font>
    <font>
      <sz val="9"/>
      <name val="Calibri"/>
      <charset val="1"/>
    </font>
    <font>
      <b/>
      <sz val="9"/>
      <color rgb="FFFFFFFF"/>
      <name val="Calibri"/>
      <charset val="1"/>
    </font>
    <font>
      <b/>
      <sz val="9"/>
      <color rgb="FF6B7592"/>
      <name val="Calibri"/>
      <charset val="1"/>
    </font>
    <font>
      <i/>
      <sz val="8"/>
      <color rgb="FF6B7592"/>
      <name val="Calibri"/>
      <charset val="1"/>
    </font>
    <font>
      <sz val="9"/>
      <color rgb="FF1B3A6B"/>
      <name val="Calibri"/>
      <charset val="1"/>
    </font>
    <font>
      <b/>
      <sz val="8"/>
      <color rgb="FFFFFFFF"/>
      <name val="Calibri"/>
      <charset val="1"/>
    </font>
    <font>
      <b/>
      <sz val="26"/>
      <color rgb="FF1B3A6B"/>
      <name val="Calibri"/>
      <charset val="1"/>
    </font>
    <font>
      <b/>
      <sz val="26"/>
      <color rgb="FF1A7A8A"/>
      <name val="Calibri"/>
      <charset val="1"/>
    </font>
    <font>
      <b/>
      <sz val="26"/>
      <color rgb="FFCC0000"/>
      <name val="Calibri"/>
      <charset val="1"/>
    </font>
    <font>
      <b/>
      <sz val="26"/>
      <color rgb="FF2A5FA8"/>
      <name val="Calibri"/>
      <charset val="1"/>
    </font>
    <font>
      <b/>
      <sz val="26"/>
      <color rgb="FF1E6B45"/>
      <name val="Calibri"/>
      <charset val="1"/>
    </font>
    <font>
      <sz val="8"/>
      <color rgb="FF1B3A6B"/>
      <name val="Calibri"/>
      <charset val="1"/>
    </font>
    <font>
      <sz val="9"/>
      <color rgb="FF000000"/>
      <name val="Calibri"/>
      <charset val="1"/>
    </font>
    <font>
      <b/>
      <sz val="10"/>
      <color rgb="FF1B3A6B"/>
      <name val="Calibri"/>
      <charset val="1"/>
    </font>
    <font>
      <b/>
      <sz val="8"/>
      <color rgb="FF6B7592"/>
      <name val="Calibri"/>
      <charset val="1"/>
    </font>
    <font>
      <b/>
      <sz val="9"/>
      <color rgb="FF2A5FA8"/>
      <name val="Calibri"/>
      <charset val="1"/>
    </font>
    <font>
      <b/>
      <sz val="8"/>
      <color rgb="FF1B3A6B"/>
      <name val="Calibri"/>
      <charset val="1"/>
    </font>
    <font>
      <sz val="8"/>
      <color rgb="FFCC0000"/>
      <name val="Calibri"/>
      <charset val="1"/>
    </font>
    <font>
      <b/>
      <sz val="8"/>
      <color rgb="FF2A5FA8"/>
      <name val="Calibri"/>
      <charset val="1"/>
    </font>
    <font>
      <b/>
      <sz val="12"/>
      <color rgb="FFFFFFFF"/>
      <name val="Calibri"/>
      <charset val="1"/>
    </font>
    <font>
      <sz val="8"/>
      <color rgb="FF6B7592"/>
      <name val="Calibri"/>
      <charset val="1"/>
    </font>
    <font>
      <b/>
      <sz val="9"/>
      <color rgb="FF1A7A8A"/>
      <name val="Calibri"/>
      <charset val="1"/>
    </font>
    <font>
      <sz val="8"/>
      <name val="Calibri"/>
      <family val="2"/>
      <charset val="1"/>
    </font>
    <font>
      <b/>
      <sz val="9"/>
      <color rgb="FF1B3A6B"/>
      <name val="Calibri"/>
      <family val="2"/>
    </font>
    <font>
      <b/>
      <sz val="8"/>
      <color rgb="FFFFFFFF"/>
      <name val="Calibri"/>
      <family val="2"/>
    </font>
    <font>
      <sz val="8"/>
      <color rgb="FF6B7592"/>
      <name val="Calibri"/>
      <family val="2"/>
    </font>
    <font>
      <sz val="9"/>
      <name val="Calibri"/>
      <family val="2"/>
    </font>
    <font>
      <sz val="8"/>
      <color rgb="FFFFFFFF"/>
      <name val="Calibri"/>
      <family val="2"/>
    </font>
    <font>
      <sz val="9"/>
      <color theme="1"/>
      <name val="Calibri"/>
      <family val="2"/>
    </font>
    <font>
      <sz val="9"/>
      <color rgb="FF1B3A6B"/>
      <name val="Calibri"/>
      <family val="2"/>
    </font>
    <font>
      <b/>
      <sz val="9"/>
      <color rgb="FFFFFFFF"/>
      <name val="Calibri"/>
      <family val="2"/>
    </font>
    <font>
      <i/>
      <sz val="8"/>
      <color rgb="FF6B7592"/>
      <name val="Calibri"/>
      <family val="2"/>
    </font>
    <font>
      <b/>
      <sz val="9"/>
      <color rgb="FF1B3A6B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rgb="FF1B3A6B"/>
        <bgColor rgb="FF444444"/>
      </patternFill>
    </fill>
    <fill>
      <patternFill patternType="solid">
        <fgColor rgb="FF0F1C36"/>
        <bgColor rgb="FF222222"/>
      </patternFill>
    </fill>
    <fill>
      <patternFill patternType="solid">
        <fgColor rgb="FFD6E4F0"/>
        <bgColor rgb="FFD6EDF1"/>
      </patternFill>
    </fill>
    <fill>
      <patternFill patternType="solid">
        <fgColor rgb="FFF2F4F8"/>
        <bgColor rgb="FFEAF3FB"/>
      </patternFill>
    </fill>
    <fill>
      <patternFill patternType="solid">
        <fgColor rgb="FF1A7A8A"/>
        <bgColor rgb="FF2A5FA8"/>
      </patternFill>
    </fill>
    <fill>
      <patternFill patternType="solid">
        <fgColor rgb="FFFFFFFF"/>
        <bgColor rgb="FFF2F4F8"/>
      </patternFill>
    </fill>
    <fill>
      <patternFill patternType="solid">
        <fgColor rgb="FFFFF2CC"/>
        <bgColor rgb="FFFEF3C7"/>
      </patternFill>
    </fill>
    <fill>
      <patternFill patternType="solid">
        <fgColor rgb="FFCC0000"/>
        <bgColor rgb="FF800000"/>
      </patternFill>
    </fill>
    <fill>
      <patternFill patternType="solid">
        <fgColor rgb="FF2A5FA8"/>
        <bgColor rgb="FF1A7A8A"/>
      </patternFill>
    </fill>
    <fill>
      <patternFill patternType="solid">
        <fgColor rgb="FF1E6B45"/>
        <bgColor rgb="FF1A7A8A"/>
      </patternFill>
    </fill>
    <fill>
      <patternFill patternType="solid">
        <fgColor rgb="FFEAF3FB"/>
        <bgColor rgb="FFF2F4F8"/>
      </patternFill>
    </fill>
    <fill>
      <patternFill patternType="solid">
        <fgColor rgb="FFD6EDF1"/>
        <bgColor rgb="FFD6E4F0"/>
      </patternFill>
    </fill>
    <fill>
      <patternFill patternType="solid">
        <fgColor theme="0"/>
        <bgColor rgb="FFF2F4F8"/>
      </patternFill>
    </fill>
    <fill>
      <patternFill patternType="solid">
        <fgColor theme="0"/>
        <bgColor rgb="FFEAF3FB"/>
      </patternFill>
    </fill>
    <fill>
      <patternFill patternType="solid">
        <fgColor theme="0"/>
        <bgColor rgb="FFFEF3C7"/>
      </patternFill>
    </fill>
    <fill>
      <patternFill patternType="solid">
        <fgColor theme="0"/>
        <bgColor rgb="FFD6EDF1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rgb="FFF2F4F8"/>
      </patternFill>
    </fill>
  </fills>
  <borders count="9">
    <border>
      <left/>
      <right/>
      <top/>
      <bottom/>
      <diagonal/>
    </border>
    <border>
      <left style="thin">
        <color rgb="FFD0D4DC"/>
      </left>
      <right style="thin">
        <color rgb="FFD0D4DC"/>
      </right>
      <top style="thin">
        <color rgb="FFD0D4DC"/>
      </top>
      <bottom style="thin">
        <color rgb="FFD0D4DC"/>
      </bottom>
      <diagonal/>
    </border>
    <border>
      <left style="thin">
        <color rgb="FFD0D4DC"/>
      </left>
      <right/>
      <top style="thin">
        <color rgb="FFD0D4DC"/>
      </top>
      <bottom style="thin">
        <color rgb="FFD0D4DC"/>
      </bottom>
      <diagonal/>
    </border>
    <border>
      <left style="thin">
        <color rgb="FFD0D4DC"/>
      </left>
      <right/>
      <top style="thin">
        <color rgb="FFD0D4DC"/>
      </top>
      <bottom/>
      <diagonal/>
    </border>
    <border>
      <left style="thin">
        <color rgb="FFD0D4DC"/>
      </left>
      <right style="thin">
        <color rgb="FFD0D4DC"/>
      </right>
      <top/>
      <bottom style="thin">
        <color rgb="FFD0D4DC"/>
      </bottom>
      <diagonal/>
    </border>
    <border>
      <left style="thin">
        <color rgb="FFD0D4DC"/>
      </left>
      <right style="thin">
        <color rgb="FFD0D4DC"/>
      </right>
      <top style="thin">
        <color rgb="FFD0D4DC"/>
      </top>
      <bottom/>
      <diagonal/>
    </border>
    <border>
      <left/>
      <right style="thin">
        <color rgb="FFD0D4DC"/>
      </right>
      <top style="thin">
        <color rgb="FFD0D4DC"/>
      </top>
      <bottom/>
      <diagonal/>
    </border>
    <border>
      <left/>
      <right style="thin">
        <color rgb="FFD0D4DC"/>
      </right>
      <top/>
      <bottom style="thin">
        <color rgb="FFD0D4DC"/>
      </bottom>
      <diagonal/>
    </border>
    <border>
      <left style="thin">
        <color rgb="FFD0D4DC"/>
      </left>
      <right/>
      <top/>
      <bottom style="thin">
        <color rgb="FFD0D4DC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3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14" fontId="3" fillId="8" borderId="1" xfId="0" applyNumberFormat="1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14" fontId="3" fillId="4" borderId="1" xfId="0" applyNumberFormat="1" applyFont="1" applyFill="1" applyBorder="1" applyAlignment="1">
      <alignment horizontal="left" vertical="center"/>
    </xf>
    <xf numFmtId="14" fontId="8" fillId="8" borderId="1" xfId="0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9" fontId="5" fillId="2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64" fontId="16" fillId="5" borderId="1" xfId="0" applyNumberFormat="1" applyFont="1" applyFill="1" applyBorder="1" applyAlignment="1">
      <alignment horizontal="center" vertical="center"/>
    </xf>
    <xf numFmtId="9" fontId="16" fillId="5" borderId="1" xfId="0" applyNumberFormat="1" applyFont="1" applyFill="1" applyBorder="1" applyAlignment="1">
      <alignment horizontal="center" vertical="center"/>
    </xf>
    <xf numFmtId="9" fontId="16" fillId="7" borderId="1" xfId="0" applyNumberFormat="1" applyFont="1" applyFill="1" applyBorder="1" applyAlignment="1">
      <alignment horizontal="center" vertical="center"/>
    </xf>
    <xf numFmtId="164" fontId="17" fillId="4" borderId="1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/>
    </xf>
    <xf numFmtId="164" fontId="19" fillId="4" borderId="1" xfId="0" applyNumberFormat="1" applyFont="1" applyFill="1" applyBorder="1" applyAlignment="1">
      <alignment horizontal="center" vertical="center"/>
    </xf>
    <xf numFmtId="9" fontId="3" fillId="4" borderId="1" xfId="0" applyNumberFormat="1" applyFont="1" applyFill="1" applyBorder="1" applyAlignment="1">
      <alignment horizontal="center" vertical="center"/>
    </xf>
    <xf numFmtId="1" fontId="21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/>
    <xf numFmtId="164" fontId="5" fillId="2" borderId="1" xfId="0" applyNumberFormat="1" applyFont="1" applyFill="1" applyBorder="1"/>
    <xf numFmtId="9" fontId="5" fillId="2" borderId="1" xfId="0" applyNumberFormat="1" applyFont="1" applyFill="1" applyBorder="1"/>
    <xf numFmtId="0" fontId="4" fillId="12" borderId="1" xfId="0" applyFont="1" applyFill="1" applyBorder="1" applyAlignment="1">
      <alignment horizontal="left" vertical="center"/>
    </xf>
    <xf numFmtId="0" fontId="0" fillId="8" borderId="1" xfId="0" applyFill="1" applyBorder="1"/>
    <xf numFmtId="0" fontId="22" fillId="4" borderId="1" xfId="0" applyFont="1" applyFill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left" vertical="center" wrapText="1"/>
    </xf>
    <xf numFmtId="0" fontId="3" fillId="15" borderId="1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left" vertical="center"/>
    </xf>
    <xf numFmtId="0" fontId="4" fillId="15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left" vertical="center"/>
    </xf>
    <xf numFmtId="0" fontId="27" fillId="14" borderId="1" xfId="0" applyFont="1" applyFill="1" applyBorder="1" applyAlignment="1">
      <alignment horizontal="left" vertical="center" wrapText="1"/>
    </xf>
    <xf numFmtId="0" fontId="27" fillId="15" borderId="1" xfId="0" applyFont="1" applyFill="1" applyBorder="1" applyAlignment="1">
      <alignment horizontal="left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7" fillId="5" borderId="2" xfId="0" applyFont="1" applyFill="1" applyBorder="1" applyAlignment="1">
      <alignment vertical="center"/>
    </xf>
    <xf numFmtId="0" fontId="29" fillId="14" borderId="1" xfId="0" applyFont="1" applyFill="1" applyBorder="1" applyAlignment="1">
      <alignment horizontal="center" vertical="center"/>
    </xf>
    <xf numFmtId="0" fontId="30" fillId="14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 wrapText="1"/>
    </xf>
    <xf numFmtId="0" fontId="0" fillId="18" borderId="0" xfId="0" applyFill="1"/>
    <xf numFmtId="165" fontId="32" fillId="16" borderId="1" xfId="0" applyNumberFormat="1" applyFont="1" applyFill="1" applyBorder="1" applyAlignment="1">
      <alignment horizontal="center" vertical="center"/>
    </xf>
    <xf numFmtId="165" fontId="33" fillId="17" borderId="1" xfId="0" applyNumberFormat="1" applyFont="1" applyFill="1" applyBorder="1" applyAlignment="1">
      <alignment horizontal="center" vertical="center"/>
    </xf>
    <xf numFmtId="0" fontId="33" fillId="14" borderId="1" xfId="0" applyFont="1" applyFill="1" applyBorder="1" applyAlignment="1">
      <alignment horizontal="center" vertical="center"/>
    </xf>
    <xf numFmtId="0" fontId="33" fillId="8" borderId="1" xfId="0" applyFont="1" applyFill="1" applyBorder="1" applyAlignment="1">
      <alignment horizontal="left" vertical="center"/>
    </xf>
    <xf numFmtId="0" fontId="34" fillId="2" borderId="1" xfId="0" applyFont="1" applyFill="1" applyBorder="1" applyAlignment="1">
      <alignment horizontal="center" vertical="center"/>
    </xf>
    <xf numFmtId="0" fontId="33" fillId="5" borderId="1" xfId="0" applyFont="1" applyFill="1" applyBorder="1" applyAlignment="1">
      <alignment horizontal="left" vertical="center"/>
    </xf>
    <xf numFmtId="0" fontId="33" fillId="7" borderId="1" xfId="0" applyFont="1" applyFill="1" applyBorder="1" applyAlignment="1">
      <alignment horizontal="left" vertical="center"/>
    </xf>
    <xf numFmtId="0" fontId="28" fillId="2" borderId="1" xfId="0" applyFont="1" applyFill="1" applyBorder="1" applyAlignment="1">
      <alignment horizontal="center" vertical="center"/>
    </xf>
    <xf numFmtId="0" fontId="35" fillId="5" borderId="1" xfId="0" applyFont="1" applyFill="1" applyBorder="1"/>
    <xf numFmtId="0" fontId="27" fillId="15" borderId="1" xfId="0" applyFont="1" applyFill="1" applyBorder="1" applyAlignment="1">
      <alignment horizontal="left" vertical="center"/>
    </xf>
    <xf numFmtId="0" fontId="30" fillId="15" borderId="1" xfId="0" applyFont="1" applyFill="1" applyBorder="1" applyAlignment="1">
      <alignment horizontal="center" vertical="center"/>
    </xf>
    <xf numFmtId="9" fontId="4" fillId="15" borderId="1" xfId="0" applyNumberFormat="1" applyFont="1" applyFill="1" applyBorder="1" applyAlignment="1">
      <alignment horizontal="center" vertical="center"/>
    </xf>
    <xf numFmtId="0" fontId="27" fillId="14" borderId="1" xfId="0" applyFont="1" applyFill="1" applyBorder="1" applyAlignment="1">
      <alignment horizontal="left" vertical="center"/>
    </xf>
    <xf numFmtId="16" fontId="15" fillId="17" borderId="1" xfId="0" applyNumberFormat="1" applyFont="1" applyFill="1" applyBorder="1" applyAlignment="1">
      <alignment horizontal="center" vertical="center"/>
    </xf>
    <xf numFmtId="14" fontId="36" fillId="12" borderId="6" xfId="0" applyNumberFormat="1" applyFont="1" applyFill="1" applyBorder="1" applyAlignment="1">
      <alignment horizontal="center" vertical="center"/>
    </xf>
    <xf numFmtId="14" fontId="0" fillId="8" borderId="6" xfId="0" applyNumberFormat="1" applyFill="1" applyBorder="1"/>
    <xf numFmtId="0" fontId="24" fillId="12" borderId="2" xfId="0" applyFont="1" applyFill="1" applyBorder="1" applyAlignment="1">
      <alignment horizontal="center" vertical="center"/>
    </xf>
    <xf numFmtId="0" fontId="0" fillId="8" borderId="2" xfId="0" applyFill="1" applyBorder="1"/>
    <xf numFmtId="0" fontId="5" fillId="2" borderId="7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0" fillId="8" borderId="5" xfId="0" applyFill="1" applyBorder="1"/>
    <xf numFmtId="0" fontId="0" fillId="8" borderId="3" xfId="0" applyFill="1" applyBorder="1"/>
    <xf numFmtId="0" fontId="29" fillId="19" borderId="1" xfId="0" applyFont="1" applyFill="1" applyBorder="1" applyAlignment="1">
      <alignment horizontal="center" vertical="center"/>
    </xf>
    <xf numFmtId="0" fontId="34" fillId="10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9" fontId="10" fillId="5" borderId="3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164" fontId="13" fillId="5" borderId="3" xfId="0" applyNumberFormat="1" applyFont="1" applyFill="1" applyBorder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9" fillId="2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164" fontId="14" fillId="5" borderId="3" xfId="0" applyNumberFormat="1" applyFont="1" applyFill="1" applyBorder="1" applyAlignment="1">
      <alignment horizontal="center" vertical="center"/>
    </xf>
    <xf numFmtId="0" fontId="20" fillId="7" borderId="2" xfId="0" applyFont="1" applyFill="1" applyBorder="1" applyAlignment="1">
      <alignment horizontal="left" vertical="center" wrapText="1"/>
    </xf>
    <xf numFmtId="0" fontId="25" fillId="13" borderId="2" xfId="0" applyFont="1" applyFill="1" applyBorder="1" applyAlignment="1">
      <alignment horizontal="left" vertical="center" wrapText="1"/>
    </xf>
    <xf numFmtId="0" fontId="20" fillId="5" borderId="2" xfId="0" applyFont="1" applyFill="1" applyBorder="1" applyAlignment="1">
      <alignment horizontal="left" vertical="center" wrapText="1"/>
    </xf>
    <xf numFmtId="0" fontId="23" fillId="2" borderId="0" xfId="0" applyFont="1" applyFill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13"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ont>
        <color rgb="FFFF0000"/>
      </font>
    </dxf>
    <dxf>
      <fill>
        <patternFill patternType="solid">
          <fgColor rgb="FFFEF3C7"/>
          <bgColor rgb="FFFFF2CC"/>
        </patternFill>
      </fill>
      <border diagonalUp="0" diagonalDown="0">
        <left style="thin">
          <color rgb="FFD0D4DC"/>
        </left>
        <right/>
        <top style="thin">
          <color rgb="FFD0D4DC"/>
        </top>
        <bottom style="thin">
          <color rgb="FFD0D4DC"/>
        </bottom>
        <vertical/>
        <horizontal/>
      </border>
    </dxf>
    <dxf>
      <fill>
        <patternFill patternType="solid">
          <fgColor rgb="FFFEF3C7"/>
          <bgColor rgb="FFFFF2CC"/>
        </patternFill>
      </fill>
      <border diagonalUp="0" diagonalDown="0">
        <left style="thin">
          <color rgb="FFD0D4DC"/>
        </left>
        <right style="thin">
          <color rgb="FFD0D4DC"/>
        </right>
        <top style="thin">
          <color rgb="FFD0D4DC"/>
        </top>
        <bottom style="thin">
          <color rgb="FFD0D4DC"/>
        </bottom>
        <vertical/>
        <horizontal/>
      </border>
    </dxf>
    <dxf>
      <fill>
        <patternFill patternType="solid">
          <fgColor rgb="FFFEF3C7"/>
          <bgColor rgb="FFFFF2CC"/>
        </patternFill>
      </fill>
      <border diagonalUp="0" diagonalDown="0">
        <left style="thin">
          <color rgb="FFD0D4DC"/>
        </left>
        <right style="thin">
          <color rgb="FFD0D4DC"/>
        </right>
        <top style="thin">
          <color rgb="FFD0D4DC"/>
        </top>
        <bottom style="thin">
          <color rgb="FFD0D4D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19" formatCode="dd/mm/yyyy"/>
      <fill>
        <patternFill patternType="solid">
          <fgColor rgb="FFFEF3C7"/>
          <bgColor rgb="FFFFF2CC"/>
        </patternFill>
      </fill>
      <border diagonalUp="0" diagonalDown="0">
        <left/>
        <right style="thin">
          <color rgb="FFD0D4DC"/>
        </right>
        <top style="thin">
          <color rgb="FFD0D4DC"/>
        </top>
        <bottom/>
        <vertical/>
        <horizontal/>
      </border>
    </dxf>
    <dxf>
      <border outline="0">
        <top style="thin">
          <color rgb="FFD0D4DC"/>
        </top>
      </border>
    </dxf>
    <dxf>
      <border outline="0">
        <left style="thin">
          <color rgb="FFD0D4DC"/>
        </left>
        <right style="thin">
          <color rgb="FFD0D4DC"/>
        </right>
        <top style="thin">
          <color rgb="FFD0D4DC"/>
        </top>
        <bottom style="thin">
          <color rgb="FFD0D4DC"/>
        </bottom>
      </border>
    </dxf>
    <dxf>
      <border outline="0">
        <bottom style="thin">
          <color rgb="FFD0D4D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alibri"/>
        <charset val="1"/>
        <scheme val="none"/>
      </font>
      <fill>
        <patternFill patternType="solid">
          <fgColor rgb="FF444444"/>
          <bgColor rgb="FF1B3A6B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0D4DC"/>
        </left>
        <right style="thin">
          <color rgb="FFD0D4DC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A8A"/>
      <rgbColor rgb="FFD6E4F0"/>
      <rgbColor rgb="FF808080"/>
      <rgbColor rgb="FF9999FF"/>
      <rgbColor rgb="FF993366"/>
      <rgbColor rgb="FFFEF3C7"/>
      <rgbColor rgb="FFD6EDF1"/>
      <rgbColor rgb="FF660066"/>
      <rgbColor rgb="FFFF8080"/>
      <rgbColor rgb="FF2A5FA8"/>
      <rgbColor rgb="FFD0D4DC"/>
      <rgbColor rgb="FF000080"/>
      <rgbColor rgb="FFFF00FF"/>
      <rgbColor rgb="FFFFFF00"/>
      <rgbColor rgb="FF00FFFF"/>
      <rgbColor rgb="FF800080"/>
      <rgbColor rgb="FF800000"/>
      <rgbColor rgb="FF1E6B45"/>
      <rgbColor rgb="FF0000FF"/>
      <rgbColor rgb="FF00CCFF"/>
      <rgbColor rgb="FFEAF3FB"/>
      <rgbColor rgb="FFE2EFDA"/>
      <rgbColor rgb="FFFFF2CC"/>
      <rgbColor rgb="FF93B8E8"/>
      <rgbColor rgb="FFFEF0E6"/>
      <rgbColor rgb="FFF2F4F8"/>
      <rgbColor rgb="FFFCE4D6"/>
      <rgbColor rgb="FF3366FF"/>
      <rgbColor rgb="FF33CCCC"/>
      <rgbColor rgb="FF99CC00"/>
      <rgbColor rgb="FFFFCC00"/>
      <rgbColor rgb="FFFF9900"/>
      <rgbColor rgb="FFFF6600"/>
      <rgbColor rgb="FF6B7592"/>
      <rgbColor rgb="FF969696"/>
      <rgbColor rgb="FF1B3A6B"/>
      <rgbColor rgb="FF339966"/>
      <rgbColor rgb="FF0F1C36"/>
      <rgbColor rgb="FF444444"/>
      <rgbColor rgb="FFB84A00"/>
      <rgbColor rgb="FF993366"/>
      <rgbColor rgb="FF5B2C8D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ocumenttasks/documenttask1.xml><?xml version="1.0" encoding="utf-8"?>
<Tasks xmlns="http://schemas.microsoft.com/office/tasks/2019/documenttasks">
  <Task id="{5B258883-E11C-45A4-A285-109978B3F267}">
    <Anchor>
      <Comment id="{C4C790AE-385B-4C6D-9139-FC7220E354CA}"/>
    </Anchor>
    <History>
      <Event time="2026-05-07T01:16:50.35" id="{8ABFF46E-94F8-4E92-A67E-9CBAD4DDC0F6}">
        <Attribution userId="S::faznur-amalia@epf.gov.my::db06f7dc-8ee4-499e-9010-2c51964040f0" userName="Faznur Amalia binti Ahmad Azuwaniza" userProvider="AD"/>
        <Anchor>
          <Comment id="{C4C790AE-385B-4C6D-9139-FC7220E354CA}"/>
        </Anchor>
        <Create/>
      </Event>
      <Event time="2026-05-07T01:16:50.35" id="{BBF6D1F2-88AA-4124-953C-5EDF5F70E398}">
        <Attribution userId="S::faznur-amalia@epf.gov.my::db06f7dc-8ee4-499e-9010-2c51964040f0" userName="Faznur Amalia binti Ahmad Azuwaniza" userProvider="AD"/>
        <Anchor>
          <Comment id="{C4C790AE-385B-4C6D-9139-FC7220E354CA}"/>
        </Anchor>
        <Assign userId="S::suvinithira@epf.gov.my::4706a46b-65b5-4114-b834-6224aa2b398d" userName="Suvinithira a/p Nadesan" userProvider="AD"/>
      </Event>
      <Event time="2026-05-07T01:16:50.35" id="{380DF521-FAD1-4D28-A529-4F0512323CD8}">
        <Attribution userId="S::faznur-amalia@epf.gov.my::db06f7dc-8ee4-499e-9010-2c51964040f0" userName="Faznur Amalia binti Ahmad Azuwaniza" userProvider="AD"/>
        <Anchor>
          <Comment id="{C4C790AE-385B-4C6D-9139-FC7220E354CA}"/>
        </Anchor>
        <SetTitle title="@Suvinithira a/p Nadesan shouldn’t take more than 2 days for app trust and security standards &amp; WCAG. 1 day is enough. Its not that difficult."/>
      </Event>
    </History>
  </Task>
  <Task id="{24D401D7-86D6-41F7-8C35-4B4E16319597}">
    <Anchor>
      <Comment id="{B379AC4E-D9C3-4D34-B0AE-67BCFB02ACEF}"/>
    </Anchor>
    <History>
      <Event time="2026-05-07T01:17:45.38" id="{7EED6DED-289A-49AF-80B4-10F7D4489776}">
        <Attribution userId="S::faznur-amalia@epf.gov.my::db06f7dc-8ee4-499e-9010-2c51964040f0" userName="Faznur Amalia binti Ahmad Azuwaniza" userProvider="AD"/>
        <Anchor>
          <Comment id="{B379AC4E-D9C3-4D34-B0AE-67BCFB02ACEF}"/>
        </Anchor>
        <Create/>
      </Event>
      <Event time="2026-05-07T01:17:45.38" id="{2C755136-3F9C-499E-9762-49E877722105}">
        <Attribution userId="S::faznur-amalia@epf.gov.my::db06f7dc-8ee4-499e-9010-2c51964040f0" userName="Faznur Amalia binti Ahmad Azuwaniza" userProvider="AD"/>
        <Anchor>
          <Comment id="{B379AC4E-D9C3-4D34-B0AE-67BCFB02ACEF}"/>
        </Anchor>
        <Assign userId="S::suvinithira@epf.gov.my::4706a46b-65b5-4114-b834-6224aa2b398d" userName="Suvinithira a/p Nadesan" userProvider="AD"/>
      </Event>
      <Event time="2026-05-07T01:17:45.38" id="{641EAED9-C959-4436-AE75-00B920C75FFA}">
        <Attribution userId="S::faznur-amalia@epf.gov.my::db06f7dc-8ee4-499e-9010-2c51964040f0" userName="Faznur Amalia binti Ahmad Azuwaniza" userProvider="AD"/>
        <Anchor>
          <Comment id="{B379AC4E-D9C3-4D34-B0AE-67BCFB02ACEF}"/>
        </Anchor>
        <SetTitle title="@Suvinithira a/p Nadesan , all this can run concurrently, putting in mind that you have proteges to assist you with the arrangements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Suvinithira a/p Nadesan" id="{D1B5AD3B-5E23-4AFD-984D-E1E084A6B3AC}" userId="suvinithira@epf.gov.my" providerId="PeoplePicker"/>
  <person displayName="Faznur Amalia binti Ahmad Azuwaniza" id="{F8FF53B3-3776-4F2C-89A8-2273786893E8}" userId="S::faznur-amalia@epf.gov.my::db06f7dc-8ee4-499e-9010-2c51964040f0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09E948-F767-4E1D-ADA6-243FF6CE34C3}" name="offday" displayName="offday" ref="A3:D32" totalsRowShown="0" headerRowDxfId="12" headerRowBorderDxfId="11" tableBorderDxfId="10" totalsRowBorderDxfId="9">
  <autoFilter ref="A3:D32" xr:uid="{8A09E948-F767-4E1D-ADA6-243FF6CE34C3}"/>
  <tableColumns count="4">
    <tableColumn id="1" xr3:uid="{3B830F28-8331-4EA5-92E8-FE0D95437ED1}" name="Date" dataDxfId="8"/>
    <tableColumn id="2" xr3:uid="{6F77A304-A11E-4700-B074-3066F822B3BA}" name="Holiday Name" dataDxfId="7"/>
    <tableColumn id="3" xr3:uid="{F9F4E710-0181-413A-B6CD-2C8C827C6D9A}" name="Type" dataDxfId="6"/>
    <tableColumn id="4" xr3:uid="{3047D0E5-DC4B-490F-BE77-38E0BEB4D8D3}" name="Day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7" dT="2026-05-07T01:16:50.37" personId="{F8FF53B3-3776-4F2C-89A8-2273786893E8}" id="{C4C790AE-385B-4C6D-9139-FC7220E354CA}">
    <text>@Suvinithira a/p Nadesan  shouldn’t take more than 2 days for app trust and security standards &amp; WCAG. 1 day is enough. Its not that difficult.</text>
    <mentions>
      <mention mentionpersonId="{D1B5AD3B-5E23-4AFD-984D-E1E084A6B3AC}" mentionId="{512E3115-9EFB-4486-A552-0462ED1453A4}" startIndex="0" length="24"/>
    </mentions>
  </threadedComment>
  <threadedComment ref="G26" dT="2026-05-07T01:17:45.38" personId="{F8FF53B3-3776-4F2C-89A8-2273786893E8}" id="{B379AC4E-D9C3-4D34-B0AE-67BCFB02ACEF}">
    <text>@Suvinithira a/p Nadesan , all this (18-20) can run concurrently, putting in mind that you have proteges to assist you with the arrangements</text>
    <mentions>
      <mention mentionpersonId="{D1B5AD3B-5E23-4AFD-984D-E1E084A6B3AC}" mentionId="{AAC9B993-2240-42E5-AD2F-C2C482E7F4AD}" startIndex="0" length="24"/>
    </mentions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7"/>
  <sheetViews>
    <sheetView showGridLines="0" zoomScaleNormal="100" workbookViewId="0">
      <pane ySplit="3" topLeftCell="A12" activePane="bottomLeft" state="frozen"/>
      <selection pane="bottomLeft" activeCell="E34" sqref="E34"/>
    </sheetView>
  </sheetViews>
  <sheetFormatPr defaultColWidth="8.6640625" defaultRowHeight="14.4" x14ac:dyDescent="0.3"/>
  <cols>
    <col min="1" max="1" width="24.5546875" customWidth="1"/>
    <col min="2" max="2" width="21.109375" customWidth="1"/>
    <col min="3" max="3" width="14.6640625" customWidth="1"/>
    <col min="4" max="4" width="12" customWidth="1"/>
    <col min="5" max="5" width="14.33203125" customWidth="1"/>
    <col min="6" max="6" width="19.44140625" customWidth="1"/>
    <col min="7" max="7" width="10" customWidth="1"/>
    <col min="8" max="8" width="14" customWidth="1"/>
    <col min="9" max="9" width="15.88671875" customWidth="1"/>
    <col min="10" max="10" width="14.5546875" customWidth="1"/>
    <col min="14" max="14" width="12.5546875" customWidth="1"/>
  </cols>
  <sheetData>
    <row r="1" spans="1:18" ht="33.75" customHeight="1" x14ac:dyDescent="0.3">
      <c r="A1" s="78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</row>
    <row r="2" spans="1:18" ht="18" customHeight="1" x14ac:dyDescent="0.3">
      <c r="A2" s="79" t="s">
        <v>1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</row>
    <row r="3" spans="1:18" ht="21.75" customHeight="1" x14ac:dyDescent="0.3">
      <c r="A3" s="2" t="s">
        <v>2</v>
      </c>
      <c r="B3" s="3">
        <v>46148</v>
      </c>
      <c r="C3" s="4" t="s">
        <v>3</v>
      </c>
      <c r="D3" s="2" t="s">
        <v>4</v>
      </c>
      <c r="E3" s="5">
        <f>IFERROR(MAX('Task Tracker'!$J$8:$J$203),"")</f>
        <v>46276</v>
      </c>
      <c r="F3" s="55" t="s">
        <v>5</v>
      </c>
      <c r="G3" s="2" t="s">
        <v>6</v>
      </c>
      <c r="H3" s="6">
        <f ca="1">TODAY()</f>
        <v>46181</v>
      </c>
      <c r="J3" s="2" t="s">
        <v>7</v>
      </c>
      <c r="K3" s="50" t="s">
        <v>8</v>
      </c>
      <c r="M3" s="2" t="s">
        <v>9</v>
      </c>
      <c r="N3" s="1" t="str">
        <f ca="1">IF(COUNTIFS('Task Tracker'!$M$8:$M$203,"Delayed")&gt;0,"Delayed",IF(COUNTIFS('Task Tracker'!$M$8:$M$203,"Check*")&gt;0,"Check Tracker",IF(SUMPRODUCT('Task Tracker'!$H$8:$H$203,'Task Tracker'!$N$8:$N$203)=SUM('Task Tracker'!$H$8:$H$203),"Complete",IF(COUNTIFS('Task Tracker'!$M$8:$M$203,"In Progress")&gt;0,"In Progress","Not Started"))))</f>
        <v>Delayed</v>
      </c>
    </row>
    <row r="5" spans="1:18" ht="13.5" customHeight="1" x14ac:dyDescent="0.3">
      <c r="A5" s="80" t="s">
        <v>10</v>
      </c>
      <c r="B5" s="80"/>
      <c r="D5" s="81" t="s">
        <v>11</v>
      </c>
      <c r="E5" s="81"/>
      <c r="G5" s="82" t="s">
        <v>12</v>
      </c>
      <c r="H5" s="82"/>
      <c r="J5" s="83" t="s">
        <v>13</v>
      </c>
      <c r="K5" s="83"/>
      <c r="M5" s="84" t="s">
        <v>14</v>
      </c>
      <c r="N5" s="84"/>
    </row>
    <row r="6" spans="1:18" ht="38.4" customHeight="1" x14ac:dyDescent="0.3">
      <c r="A6" s="73">
        <f ca="1">IFERROR(SUMPRODUCT('Task Tracker'!$H$8:$H$203,'Task Tracker'!$N$8:$N$203)/SUM('Task Tracker'!$H$8:$H$203),0)</f>
        <v>0.11384802835622509</v>
      </c>
      <c r="B6" s="73"/>
      <c r="D6" s="74">
        <f ca="1">COUNTIFS('Task Tracker'!$L$8:$L$203,"&gt;0",'Task Tracker'!$L$8:$L$203,"&lt;="&amp;$H$3)</f>
        <v>3</v>
      </c>
      <c r="E6" s="74"/>
      <c r="G6" s="75">
        <f ca="1">COUNTIFS('Task Tracker'!$M$8:$M$203,"Delayed")</f>
        <v>1</v>
      </c>
      <c r="H6" s="75"/>
      <c r="J6" s="76">
        <f ca="1">IFERROR(SUMPRODUCT('Task Tracker'!$H$8:$H$203,'Task Tracker'!$N$8:$N$203),0)</f>
        <v>27.778918918918922</v>
      </c>
      <c r="K6" s="76"/>
      <c r="M6" s="85">
        <f ca="1">IFERROR(SUM('Task Tracker'!$H$8:$H$203)-SUMPRODUCT('Task Tracker'!$H$8:$H$203,'Task Tracker'!$N$8:$N$203),0)</f>
        <v>216.22108108108108</v>
      </c>
      <c r="N6" s="85"/>
    </row>
    <row r="7" spans="1:18" ht="18" customHeight="1" x14ac:dyDescent="0.3">
      <c r="A7" s="77"/>
      <c r="B7" s="77"/>
      <c r="D7" s="74"/>
      <c r="E7" s="74"/>
      <c r="G7" s="77"/>
      <c r="H7" s="77"/>
      <c r="J7" s="76"/>
      <c r="K7" s="76"/>
      <c r="M7" s="77"/>
      <c r="N7" s="77"/>
    </row>
    <row r="8" spans="1:18" ht="18" customHeight="1" x14ac:dyDescent="0.3">
      <c r="A8" s="77"/>
      <c r="B8" s="77"/>
      <c r="D8" s="74"/>
      <c r="E8" s="74"/>
      <c r="G8" s="77"/>
      <c r="H8" s="77"/>
      <c r="J8" s="76"/>
      <c r="K8" s="76"/>
      <c r="M8" s="77"/>
      <c r="N8" s="77"/>
    </row>
    <row r="9" spans="1:18" ht="18" customHeight="1" x14ac:dyDescent="0.3">
      <c r="A9" s="77"/>
      <c r="B9" s="77"/>
      <c r="D9" s="74"/>
      <c r="E9" s="74"/>
      <c r="G9" s="77"/>
      <c r="H9" s="77"/>
      <c r="J9" s="76"/>
      <c r="K9" s="76"/>
      <c r="M9" s="77"/>
      <c r="N9" s="77"/>
    </row>
    <row r="11" spans="1:18" ht="19.5" customHeight="1" x14ac:dyDescent="0.3">
      <c r="A11" s="51" t="s">
        <v>42</v>
      </c>
      <c r="B11" s="7" t="s">
        <v>15</v>
      </c>
      <c r="C11" s="7" t="s">
        <v>16</v>
      </c>
      <c r="D11" s="7" t="s">
        <v>17</v>
      </c>
      <c r="E11" s="7" t="s">
        <v>18</v>
      </c>
      <c r="F11" s="7" t="s">
        <v>19</v>
      </c>
      <c r="G11" s="7" t="s">
        <v>20</v>
      </c>
      <c r="H11" s="7" t="s">
        <v>21</v>
      </c>
      <c r="I11" s="54" t="s">
        <v>22</v>
      </c>
      <c r="J11" s="8" t="s">
        <v>23</v>
      </c>
    </row>
    <row r="12" spans="1:18" ht="21.75" customHeight="1" x14ac:dyDescent="0.3">
      <c r="A12" s="56" t="s">
        <v>24</v>
      </c>
      <c r="B12" s="57" t="str" cm="1">
        <f t="array" ref="B12">IF(C12=0,"",_xlfn.LET(_xlpm.startW,_xlfn._xlws.FILTER('Task Tracker'!$E$8:$E$203,(TRIM('Task Tracker'!$B$8:$B$203)=TRIM($A12))*('Task Tracker'!$E$8:$E$203&lt;&gt;"")),_xlpm.endW,_xlfn._xlws.FILTER('Task Tracker'!$F$8:$F$203,(TRIM('Task Tracker'!$B$8:$B$203)=TRIM($A12))*('Task Tracker'!$F$8:$F$203&lt;&gt;"")),_xlpm.minW,MIN(--SUBSTITUTE(_xlpm.startW,"W","")),_xlpm.maxW,MAX(--SUBSTITUTE(_xlpm.endW,"W","")),IF(_xlpm.minW=_xlpm.maxW,"W"&amp;_xlpm.minW,"W"&amp;_xlpm.minW&amp;"-"&amp;"W"&amp;_xlpm.maxW)))</f>
        <v>W0-W4</v>
      </c>
      <c r="C12" s="30" cm="1">
        <f t="array" ref="C12">SUMPRODUCT(--(TRIM('Task Tracker'!$B$8:$B$203)=TRIM($A12)),--('Task Tracker'!$D$8:$D$203&lt;&gt;""))</f>
        <v>5</v>
      </c>
      <c r="D12" s="30" cm="1">
        <f t="array" aca="1" ref="D12" ca="1">SUMPRODUCT(--(TRIM('Task Tracker'!$B$8:$B$203)=TRIM($A12)),--(LEFT('Task Tracker'!$M$8:$M$203,9)="Completed"))</f>
        <v>2</v>
      </c>
      <c r="E12" s="30" cm="1">
        <f t="array" aca="1" ref="E12" ca="1">SUMPRODUCT(--(TRIM('Task Tracker'!$B$8:$B$203)=TRIM($A12)),--('Task Tracker'!$M$8:$M$203="In Progress"))</f>
        <v>0</v>
      </c>
      <c r="F12" s="30" cm="1">
        <f t="array" aca="1" ref="F12" ca="1">SUMPRODUCT(--(TRIM('Task Tracker'!$B$8:$B$203)=TRIM($A12)),--((('Task Tracker'!$M$8:$M$203="Not Started")+('Task Tracker'!$M$8:$M$203="Due to Start"))&gt;0))</f>
        <v>2</v>
      </c>
      <c r="G12" s="58" cm="1">
        <f t="array" aca="1" ref="G12" ca="1">IFERROR(SUMPRODUCT(--(TRIM('Task Tracker'!$B$8:$B$203)=TRIM($A12)),'Task Tracker'!$H$8:$H$203,'Task Tracker'!$N$8:$N$203)/SUMPRODUCT(--(TRIM('Task Tracker'!$B$8:$B$203)=TRIM($A12)),'Task Tracker'!$H$8:$H$203),0)</f>
        <v>0.77913043478260879</v>
      </c>
      <c r="H12" s="30" t="str" cm="1">
        <f t="array" aca="1" ref="H12" ca="1">IF(C12=0,"",IF(SUMPRODUCT(--(TRIM('Task Tracker'!$B$8:$B$203)=TRIM($A12)),--(LEFT('Task Tracker'!$M$8:$M$203,5)="Check"))&gt;0,"Check Tracker",IF(D12=C12,"Complete",IF(SUMPRODUCT(--(TRIM('Task Tracker'!$B$8:$B$203)=TRIM($A12)),--('Task Tracker'!$M$8:$M$203="Delayed"))&gt;0,"Delayed",IF(E12&gt;0,"In Progress","Not Started")))))</f>
        <v>Delayed</v>
      </c>
      <c r="I12" s="60" cm="1">
        <f t="array" ref="I12">IFERROR(MIN(_xlfn._xlws.FILTER('Task Tracker'!$I$8:$I$203,TRIM('Task Tracker'!$B$8:$B$203)=TRIM($A12))),"")</f>
        <v>46148</v>
      </c>
      <c r="J12" s="60" cm="1">
        <f t="array" ref="J12">IFERROR(MAX(_xlfn._xlws.FILTER('Task Tracker'!$J$8:$J$203,TRIM('Task Tracker'!$B$8:$B$203)=TRIM($A12))),"")</f>
        <v>46195</v>
      </c>
    </row>
    <row r="13" spans="1:18" ht="21.75" customHeight="1" x14ac:dyDescent="0.3">
      <c r="A13" s="59" t="s">
        <v>143</v>
      </c>
      <c r="B13" s="57" t="str" cm="1">
        <f t="array" ref="B13">IF(C13=0,"",_xlfn.LET(_xlpm.startW,_xlfn._xlws.FILTER('Task Tracker'!$E$8:$E$203,(TRIM('Task Tracker'!$B$8:$B$203)=TRIM($A13))*('Task Tracker'!$E$8:$E$203&lt;&gt;"")),_xlpm.endW,_xlfn._xlws.FILTER('Task Tracker'!$F$8:$F$203,(TRIM('Task Tracker'!$B$8:$B$203)=TRIM($A13))*('Task Tracker'!$F$8:$F$203&lt;&gt;"")),_xlpm.minW,MIN(--SUBSTITUTE(_xlpm.startW,"W","")),_xlpm.maxW,MAX(--SUBSTITUTE(_xlpm.endW,"W","")),IF(_xlpm.minW=_xlpm.maxW,"W"&amp;_xlpm.minW,"W"&amp;_xlpm.minW&amp;"-"&amp;"W"&amp;_xlpm.maxW)))</f>
        <v>W4-W7</v>
      </c>
      <c r="C13" s="30" cm="1">
        <f t="array" ref="C13">SUMPRODUCT(--(TRIM('Task Tracker'!$B$8:$B$203)=TRIM($A13)),--('Task Tracker'!$D$8:$D$203&lt;&gt;""))</f>
        <v>6</v>
      </c>
      <c r="D13" s="30" cm="1">
        <f t="array" aca="1" ref="D13" ca="1">SUMPRODUCT(--(TRIM('Task Tracker'!$B$8:$B$203)=TRIM($A13)),--(LEFT('Task Tracker'!$M$8:$M$203,9)="Completed"))</f>
        <v>0</v>
      </c>
      <c r="E13" s="30" cm="1">
        <f t="array" aca="1" ref="E13" ca="1">SUMPRODUCT(--(TRIM('Task Tracker'!$B$8:$B$203)=TRIM($A13)),--('Task Tracker'!$M$8:$M$203="In Progress"))</f>
        <v>0</v>
      </c>
      <c r="F13" s="30" cm="1">
        <f t="array" aca="1" ref="F13" ca="1">SUMPRODUCT(--(TRIM('Task Tracker'!$B$8:$B$203)=TRIM($A13)),--((('Task Tracker'!$M$8:$M$203="Not Started")+('Task Tracker'!$M$8:$M$203="Due to Start"))&gt;0))</f>
        <v>6</v>
      </c>
      <c r="G13" s="58" cm="1">
        <f t="array" aca="1" ref="G13" ca="1">IFERROR(SUMPRODUCT(--(TRIM('Task Tracker'!$B$8:$B$203)=TRIM($A13)),'Task Tracker'!$H$8:$H$203,'Task Tracker'!$N$8:$N$203)/SUMPRODUCT(--(TRIM('Task Tracker'!$B$8:$B$203)=TRIM($A13)),'Task Tracker'!$H$8:$H$203),0)</f>
        <v>0</v>
      </c>
      <c r="H13" s="30" t="str" cm="1">
        <f t="array" aca="1" ref="H13" ca="1">IF(C13=0,"",IF(SUMPRODUCT(--(TRIM('Task Tracker'!$B$8:$B$203)=TRIM($A13)),--(LEFT('Task Tracker'!$M$8:$M$203,5)="Check"))&gt;0,"Check Tracker",IF(D13=C13,"Complete",IF(SUMPRODUCT(--(TRIM('Task Tracker'!$B$8:$B$203)=TRIM($A13)),--('Task Tracker'!$M$8:$M$203="Delayed"))&gt;0,"Delayed",IF(E13&gt;0,"In Progress","Not Started")))))</f>
        <v>Not Started</v>
      </c>
      <c r="I13" s="60" cm="1">
        <f t="array" ref="I13">IFERROR(MIN(_xlfn._xlws.FILTER('Task Tracker'!$I$8:$I$203,TRIM('Task Tracker'!$B$8:$B$203)=TRIM($A13))),"")</f>
        <v>46191</v>
      </c>
      <c r="J13" s="60" cm="1">
        <f t="array" ref="J13">IFERROR(MAX(_xlfn._xlws.FILTER('Task Tracker'!$J$8:$J$203,TRIM('Task Tracker'!$B$8:$B$203)=TRIM($A13))),"")</f>
        <v>46216</v>
      </c>
    </row>
    <row r="14" spans="1:18" ht="21.75" customHeight="1" x14ac:dyDescent="0.3">
      <c r="A14" s="59" t="s">
        <v>144</v>
      </c>
      <c r="B14" s="57" t="str" cm="1">
        <f t="array" ref="B14">IF(C14=0,"",_xlfn.LET(_xlpm.startW,_xlfn._xlws.FILTER('Task Tracker'!$E$8:$E$203,(TRIM('Task Tracker'!$B$8:$B$203)=TRIM($A14))*('Task Tracker'!$E$8:$E$203&lt;&gt;"")),_xlpm.endW,_xlfn._xlws.FILTER('Task Tracker'!$F$8:$F$203,(TRIM('Task Tracker'!$B$8:$B$203)=TRIM($A14))*('Task Tracker'!$F$8:$F$203&lt;&gt;"")),_xlpm.minW,MIN(--SUBSTITUTE(_xlpm.startW,"W","")),_xlpm.maxW,MAX(--SUBSTITUTE(_xlpm.endW,"W","")),IF(_xlpm.minW=_xlpm.maxW,"W"&amp;_xlpm.minW,"W"&amp;_xlpm.minW&amp;"-"&amp;"W"&amp;_xlpm.maxW)))</f>
        <v>W4-W6</v>
      </c>
      <c r="C14" s="30" cm="1">
        <f t="array" ref="C14">SUMPRODUCT(--(TRIM('Task Tracker'!$B$8:$B$203)=TRIM($A14)),--('Task Tracker'!$D$8:$D$203&lt;&gt;""))</f>
        <v>3</v>
      </c>
      <c r="D14" s="30" cm="1">
        <f t="array" aca="1" ref="D14" ca="1">SUMPRODUCT(--(TRIM('Task Tracker'!$B$8:$B$203)=TRIM($A14)),--(LEFT('Task Tracker'!$M$8:$M$203,9)="Completed"))</f>
        <v>0</v>
      </c>
      <c r="E14" s="30" cm="1">
        <f t="array" aca="1" ref="E14" ca="1">SUMPRODUCT(--(TRIM('Task Tracker'!$B$8:$B$203)=TRIM($A14)),--('Task Tracker'!$M$8:$M$203="In Progress"))</f>
        <v>0</v>
      </c>
      <c r="F14" s="30" cm="1">
        <f t="array" aca="1" ref="F14" ca="1">SUMPRODUCT(--(TRIM('Task Tracker'!$B$8:$B$203)=TRIM($A14)),--((('Task Tracker'!$M$8:$M$203="Not Started")+('Task Tracker'!$M$8:$M$203="Due to Start"))&gt;0))</f>
        <v>3</v>
      </c>
      <c r="G14" s="58" cm="1">
        <f t="array" aca="1" ref="G14" ca="1">IFERROR(SUMPRODUCT(--(TRIM('Task Tracker'!$B$8:$B$203)=TRIM($A14)),'Task Tracker'!$H$8:$H$203,'Task Tracker'!$N$8:$N$203)/SUMPRODUCT(--(TRIM('Task Tracker'!$B$8:$B$203)=TRIM($A14)),'Task Tracker'!$H$8:$H$203),0)</f>
        <v>0</v>
      </c>
      <c r="H14" s="30" t="str" cm="1">
        <f t="array" aca="1" ref="H14" ca="1">IF(C14=0,"",IF(SUMPRODUCT(--(TRIM('Task Tracker'!$B$8:$B$203)=TRIM($A14)),--(LEFT('Task Tracker'!$M$8:$M$203,5)="Check"))&gt;0,"Check Tracker",IF(D14=C14,"Complete",IF(SUMPRODUCT(--(TRIM('Task Tracker'!$B$8:$B$203)=TRIM($A14)),--('Task Tracker'!$M$8:$M$203="Delayed"))&gt;0,"Delayed",IF(E14&gt;0,"In Progress","Not Started")))))</f>
        <v>Not Started</v>
      </c>
      <c r="I14" s="60" cm="1">
        <f t="array" ref="I14">IFERROR(MIN(_xlfn._xlws.FILTER('Task Tracker'!$I$8:$I$203,TRIM('Task Tracker'!$B$8:$B$203)=TRIM($A14))),"")</f>
        <v>46191</v>
      </c>
      <c r="J14" s="60" cm="1">
        <f t="array" ref="J14">IFERROR(MAX(_xlfn._xlws.FILTER('Task Tracker'!$J$8:$J$203,TRIM('Task Tracker'!$B$8:$B$203)=TRIM($A14))),"")</f>
        <v>46209</v>
      </c>
    </row>
    <row r="15" spans="1:18" ht="21.75" customHeight="1" x14ac:dyDescent="0.3">
      <c r="A15" s="59" t="s">
        <v>145</v>
      </c>
      <c r="B15" s="57" t="str" cm="1">
        <f t="array" ref="B15">IF(C15=0,"",_xlfn.LET(_xlpm.startW,_xlfn._xlws.FILTER('Task Tracker'!$E$8:$E$203,(TRIM('Task Tracker'!$B$8:$B$203)=TRIM($A15))*('Task Tracker'!$E$8:$E$203&lt;&gt;"")),_xlpm.endW,_xlfn._xlws.FILTER('Task Tracker'!$F$8:$F$203,(TRIM('Task Tracker'!$B$8:$B$203)=TRIM($A15))*('Task Tracker'!$F$8:$F$203&lt;&gt;"")),_xlpm.minW,MIN(--SUBSTITUTE(_xlpm.startW,"W","")),_xlpm.maxW,MAX(--SUBSTITUTE(_xlpm.endW,"W","")),IF(_xlpm.minW=_xlpm.maxW,"W"&amp;_xlpm.minW,"W"&amp;_xlpm.minW&amp;"-"&amp;"W"&amp;_xlpm.maxW)))</f>
        <v>W4-W6</v>
      </c>
      <c r="C15" s="30" cm="1">
        <f t="array" ref="C15">SUMPRODUCT(--(TRIM('Task Tracker'!$B$8:$B$203)=TRIM($A15)),--('Task Tracker'!$D$8:$D$203&lt;&gt;""))</f>
        <v>2</v>
      </c>
      <c r="D15" s="30" cm="1">
        <f t="array" aca="1" ref="D15" ca="1">SUMPRODUCT(--(TRIM('Task Tracker'!$B$8:$B$203)=TRIM($A15)),--(LEFT('Task Tracker'!$M$8:$M$203,9)="Completed"))</f>
        <v>0</v>
      </c>
      <c r="E15" s="30" cm="1">
        <f t="array" aca="1" ref="E15" ca="1">SUMPRODUCT(--(TRIM('Task Tracker'!$B$8:$B$203)=TRIM($A15)),--('Task Tracker'!$M$8:$M$203="In Progress"))</f>
        <v>0</v>
      </c>
      <c r="F15" s="30" cm="1">
        <f t="array" aca="1" ref="F15" ca="1">SUMPRODUCT(--(TRIM('Task Tracker'!$B$8:$B$203)=TRIM($A15)),--((('Task Tracker'!$M$8:$M$203="Not Started")+('Task Tracker'!$M$8:$M$203="Due to Start"))&gt;0))</f>
        <v>2</v>
      </c>
      <c r="G15" s="58" cm="1">
        <f t="array" aca="1" ref="G15" ca="1">IFERROR(SUMPRODUCT(--(TRIM('Task Tracker'!$B$8:$B$203)=TRIM($A15)),'Task Tracker'!$H$8:$H$203,'Task Tracker'!$N$8:$N$203)/SUMPRODUCT(--(TRIM('Task Tracker'!$B$8:$B$203)=TRIM($A15)),'Task Tracker'!$H$8:$H$203),0)</f>
        <v>0</v>
      </c>
      <c r="H15" s="30" t="str" cm="1">
        <f t="array" aca="1" ref="H15" ca="1">IF(C15=0,"",IF(SUMPRODUCT(--(TRIM('Task Tracker'!$B$8:$B$203)=TRIM($A15)),--(LEFT('Task Tracker'!$M$8:$M$203,5)="Check"))&gt;0,"Check Tracker",IF(D15=C15,"Complete",IF(SUMPRODUCT(--(TRIM('Task Tracker'!$B$8:$B$203)=TRIM($A15)),--('Task Tracker'!$M$8:$M$203="Delayed"))&gt;0,"Delayed",IF(E15&gt;0,"In Progress","Not Started")))))</f>
        <v>Not Started</v>
      </c>
      <c r="I15" s="60" cm="1">
        <f t="array" ref="I15">IFERROR(MIN(_xlfn._xlws.FILTER('Task Tracker'!$I$8:$I$203,TRIM('Task Tracker'!$B$8:$B$203)=TRIM($A15))),"")</f>
        <v>46191</v>
      </c>
      <c r="J15" s="60" cm="1">
        <f t="array" ref="J15">IFERROR(MAX(_xlfn._xlws.FILTER('Task Tracker'!$J$8:$J$203,TRIM('Task Tracker'!$B$8:$B$203)=TRIM($A15))),"")</f>
        <v>46209</v>
      </c>
    </row>
    <row r="16" spans="1:18" ht="21.75" customHeight="1" x14ac:dyDescent="0.3">
      <c r="A16" s="56" t="s">
        <v>25</v>
      </c>
      <c r="B16" s="57" t="str" cm="1">
        <f t="array" ref="B16">IF(C16=0,"",_xlfn.LET(_xlpm.startW,_xlfn._xlws.FILTER('Task Tracker'!$E$8:$E$203,(TRIM('Task Tracker'!$B$8:$B$203)=TRIM($A16))*('Task Tracker'!$E$8:$E$203&lt;&gt;"")),_xlpm.endW,_xlfn._xlws.FILTER('Task Tracker'!$F$8:$F$203,(TRIM('Task Tracker'!$B$8:$B$203)=TRIM($A16))*('Task Tracker'!$F$8:$F$203&lt;&gt;"")),_xlpm.minW,MIN(--SUBSTITUTE(_xlpm.startW,"W","")),_xlpm.maxW,MAX(--SUBSTITUTE(_xlpm.endW,"W","")),IF(_xlpm.minW=_xlpm.maxW,"W"&amp;_xlpm.minW,"W"&amp;_xlpm.minW&amp;"-"&amp;"W"&amp;_xlpm.maxW)))</f>
        <v>W6-W11</v>
      </c>
      <c r="C16" s="30" cm="1">
        <f t="array" ref="C16">SUMPRODUCT(--(TRIM('Task Tracker'!$B$8:$B$203)=TRIM($A16)),--('Task Tracker'!$D$8:$D$203&lt;&gt;""))</f>
        <v>7</v>
      </c>
      <c r="D16" s="30" cm="1">
        <f t="array" aca="1" ref="D16" ca="1">SUMPRODUCT(--(TRIM('Task Tracker'!$B$8:$B$203)=TRIM($A16)),--(LEFT('Task Tracker'!$M$8:$M$203,9)="Completed"))</f>
        <v>0</v>
      </c>
      <c r="E16" s="30" cm="1">
        <f t="array" aca="1" ref="E16" ca="1">SUMPRODUCT(--(TRIM('Task Tracker'!$B$8:$B$203)=TRIM($A16)),--('Task Tracker'!$M$8:$M$203="In Progress"))</f>
        <v>0</v>
      </c>
      <c r="F16" s="30" cm="1">
        <f t="array" aca="1" ref="F16" ca="1">SUMPRODUCT(--(TRIM('Task Tracker'!$B$8:$B$203)=TRIM($A16)),--((('Task Tracker'!$M$8:$M$203="Not Started")+('Task Tracker'!$M$8:$M$203="Due to Start"))&gt;0))</f>
        <v>7</v>
      </c>
      <c r="G16" s="58" cm="1">
        <f t="array" aca="1" ref="G16" ca="1">IFERROR(SUMPRODUCT(--(TRIM('Task Tracker'!$B$8:$B$203)=TRIM($A16)),'Task Tracker'!$H$8:$H$203,'Task Tracker'!$N$8:$N$203)/SUMPRODUCT(--(TRIM('Task Tracker'!$B$8:$B$203)=TRIM($A16)),'Task Tracker'!$H$8:$H$203),0)</f>
        <v>0</v>
      </c>
      <c r="H16" s="30" t="str" cm="1">
        <f t="array" aca="1" ref="H16" ca="1">IF(C16=0,"",IF(SUMPRODUCT(--(TRIM('Task Tracker'!$B$8:$B$203)=TRIM($A16)),--(LEFT('Task Tracker'!$M$8:$M$203,5)="Check"))&gt;0,"Check Tracker",IF(D16=C16,"Complete",IF(SUMPRODUCT(--(TRIM('Task Tracker'!$B$8:$B$203)=TRIM($A16)),--('Task Tracker'!$M$8:$M$203="Delayed"))&gt;0,"Delayed",IF(E16&gt;0,"In Progress","Not Started")))))</f>
        <v>Not Started</v>
      </c>
      <c r="I16" s="60" cm="1">
        <f t="array" ref="I16">IFERROR(MIN(_xlfn._xlws.FILTER('Task Tracker'!$I$8:$I$203,TRIM('Task Tracker'!$B$8:$B$203)=TRIM($A16))),"")</f>
        <v>46210</v>
      </c>
      <c r="J16" s="60" cm="1">
        <f t="array" ref="J16">IFERROR(MAX(_xlfn._xlws.FILTER('Task Tracker'!$J$8:$J$203,TRIM('Task Tracker'!$B$8:$B$203)=TRIM($A16))),"")</f>
        <v>46245</v>
      </c>
    </row>
    <row r="17" spans="1:10" ht="21.75" customHeight="1" x14ac:dyDescent="0.3">
      <c r="A17" s="59" t="s">
        <v>26</v>
      </c>
      <c r="B17" s="57" t="str" cm="1">
        <f t="array" ref="B17">IF(C17=0,"",_xlfn.LET(_xlpm.startW,_xlfn._xlws.FILTER('Task Tracker'!$E$8:$E$203,(TRIM('Task Tracker'!$B$8:$B$203)=TRIM($A17))*('Task Tracker'!$E$8:$E$203&lt;&gt;"")),_xlpm.endW,_xlfn._xlws.FILTER('Task Tracker'!$F$8:$F$203,(TRIM('Task Tracker'!$B$8:$B$203)=TRIM($A17))*('Task Tracker'!$F$8:$F$203&lt;&gt;"")),_xlpm.minW,MIN(--SUBSTITUTE(_xlpm.startW,"W","")),_xlpm.maxW,MAX(--SUBSTITUTE(_xlpm.endW,"W","")),IF(_xlpm.minW=_xlpm.maxW,"W"&amp;_xlpm.minW,"W"&amp;_xlpm.minW&amp;"-"&amp;"W"&amp;_xlpm.maxW)))</f>
        <v>W11-W13</v>
      </c>
      <c r="C17" s="30" cm="1">
        <f t="array" ref="C17">SUMPRODUCT(--(TRIM('Task Tracker'!$B$8:$B$203)=TRIM($A17)),--('Task Tracker'!$D$8:$D$203&lt;&gt;""))</f>
        <v>5</v>
      </c>
      <c r="D17" s="30" cm="1">
        <f t="array" aca="1" ref="D17" ca="1">SUMPRODUCT(--(TRIM('Task Tracker'!$B$8:$B$203)=TRIM($A17)),--(LEFT('Task Tracker'!$M$8:$M$203,9)="Completed"))</f>
        <v>0</v>
      </c>
      <c r="E17" s="30" cm="1">
        <f t="array" aca="1" ref="E17" ca="1">SUMPRODUCT(--(TRIM('Task Tracker'!$B$8:$B$203)=TRIM($A17)),--('Task Tracker'!$M$8:$M$203="In Progress"))</f>
        <v>0</v>
      </c>
      <c r="F17" s="30" cm="1">
        <f t="array" aca="1" ref="F17" ca="1">SUMPRODUCT(--(TRIM('Task Tracker'!$B$8:$B$203)=TRIM($A17)),--((('Task Tracker'!$M$8:$M$203="Not Started")+('Task Tracker'!$M$8:$M$203="Due to Start"))&gt;0))</f>
        <v>5</v>
      </c>
      <c r="G17" s="58" cm="1">
        <f t="array" aca="1" ref="G17" ca="1">IFERROR(SUMPRODUCT(--(TRIM('Task Tracker'!$B$8:$B$203)=TRIM($A17)),'Task Tracker'!$H$8:$H$203,'Task Tracker'!$N$8:$N$203)/SUMPRODUCT(--(TRIM('Task Tracker'!$B$8:$B$203)=TRIM($A17)),'Task Tracker'!$H$8:$H$203),0)</f>
        <v>0</v>
      </c>
      <c r="H17" s="30" t="str" cm="1">
        <f t="array" aca="1" ref="H17" ca="1">IF(C17=0,"",IF(SUMPRODUCT(--(TRIM('Task Tracker'!$B$8:$B$203)=TRIM($A17)),--(LEFT('Task Tracker'!$M$8:$M$203,5)="Check"))&gt;0,"Check Tracker",IF(D17=C17,"Complete",IF(SUMPRODUCT(--(TRIM('Task Tracker'!$B$8:$B$203)=TRIM($A17)),--('Task Tracker'!$M$8:$M$203="Delayed"))&gt;0,"Delayed",IF(E17&gt;0,"In Progress","Not Started")))))</f>
        <v>Not Started</v>
      </c>
      <c r="I17" s="60" cm="1">
        <f t="array" ref="I17">IFERROR(MIN(_xlfn._xlws.FILTER('Task Tracker'!$I$8:$I$203,TRIM('Task Tracker'!$B$8:$B$203)=TRIM($A17))),"")</f>
        <v>46246</v>
      </c>
      <c r="J17" s="60" cm="1">
        <f t="array" ref="J17">IFERROR(MAX(_xlfn._xlws.FILTER('Task Tracker'!$J$8:$J$203,TRIM('Task Tracker'!$B$8:$B$203)=TRIM($A17))),"")</f>
        <v>46261</v>
      </c>
    </row>
    <row r="18" spans="1:10" ht="21.75" customHeight="1" x14ac:dyDescent="0.3">
      <c r="A18" s="56" t="s">
        <v>27</v>
      </c>
      <c r="B18" s="57" t="str" cm="1">
        <f t="array" ref="B18">IF(C18=0,"",_xlfn.LET(_xlpm.startW,_xlfn._xlws.FILTER('Task Tracker'!$E$8:$E$203,(TRIM('Task Tracker'!$B$8:$B$203)=TRIM($A18))*('Task Tracker'!$E$8:$E$203&lt;&gt;"")),_xlpm.endW,_xlfn._xlws.FILTER('Task Tracker'!$F$8:$F$203,(TRIM('Task Tracker'!$B$8:$B$203)=TRIM($A18))*('Task Tracker'!$F$8:$F$203&lt;&gt;"")),_xlpm.minW,MIN(--SUBSTITUTE(_xlpm.startW,"W","")),_xlpm.maxW,MAX(--SUBSTITUTE(_xlpm.endW,"W","")),IF(_xlpm.minW=_xlpm.maxW,"W"&amp;_xlpm.minW,"W"&amp;_xlpm.minW&amp;"-"&amp;"W"&amp;_xlpm.maxW)))</f>
        <v>W13-W15</v>
      </c>
      <c r="C18" s="30" cm="1">
        <f t="array" ref="C18">SUMPRODUCT(--(TRIM('Task Tracker'!$B$8:$B$203)=TRIM($A18)),--('Task Tracker'!$D$8:$D$203&lt;&gt;""))</f>
        <v>6</v>
      </c>
      <c r="D18" s="30" cm="1">
        <f t="array" aca="1" ref="D18" ca="1">SUMPRODUCT(--(TRIM('Task Tracker'!$B$8:$B$203)=TRIM($A18)),--(LEFT('Task Tracker'!$M$8:$M$203,9)="Completed"))</f>
        <v>0</v>
      </c>
      <c r="E18" s="30" cm="1">
        <f t="array" aca="1" ref="E18" ca="1">SUMPRODUCT(--(TRIM('Task Tracker'!$B$8:$B$203)=TRIM($A18)),--('Task Tracker'!$M$8:$M$203="In Progress"))</f>
        <v>0</v>
      </c>
      <c r="F18" s="30" cm="1">
        <f t="array" aca="1" ref="F18" ca="1">SUMPRODUCT(--(TRIM('Task Tracker'!$B$8:$B$203)=TRIM($A18)),--((('Task Tracker'!$M$8:$M$203="Not Started")+('Task Tracker'!$M$8:$M$203="Due to Start"))&gt;0))</f>
        <v>6</v>
      </c>
      <c r="G18" s="58" cm="1">
        <f t="array" aca="1" ref="G18" ca="1">IFERROR(SUMPRODUCT(--(TRIM('Task Tracker'!$B$8:$B$203)=TRIM($A18)),'Task Tracker'!$H$8:$H$203,'Task Tracker'!$N$8:$N$203)/SUMPRODUCT(--(TRIM('Task Tracker'!$B$8:$B$203)=TRIM($A18)),'Task Tracker'!$H$8:$H$203),0)</f>
        <v>0</v>
      </c>
      <c r="H18" s="30" t="str" cm="1">
        <f t="array" aca="1" ref="H18" ca="1">IF(C18=0,"",IF(SUMPRODUCT(--(TRIM('Task Tracker'!$B$8:$B$203)=TRIM($A18)),--(LEFT('Task Tracker'!$M$8:$M$203,5)="Check"))&gt;0,"Check Tracker",IF(D18=C18,"Complete",IF(SUMPRODUCT(--(TRIM('Task Tracker'!$B$8:$B$203)=TRIM($A18)),--('Task Tracker'!$M$8:$M$203="Delayed"))&gt;0,"Delayed",IF(E18&gt;0,"In Progress","Not Started")))))</f>
        <v>Not Started</v>
      </c>
      <c r="I18" s="60" cm="1">
        <f t="array" ref="I18">IFERROR(MIN(_xlfn._xlws.FILTER('Task Tracker'!$I$8:$I$203,TRIM('Task Tracker'!$B$8:$B$203)=TRIM($A18))),"")</f>
        <v>46262</v>
      </c>
      <c r="J18" s="60" cm="1">
        <f t="array" ref="J18">IFERROR(MAX(_xlfn._xlws.FILTER('Task Tracker'!$J$8:$J$203,TRIM('Task Tracker'!$B$8:$B$203)=TRIM($A18))),"")</f>
        <v>46274</v>
      </c>
    </row>
    <row r="19" spans="1:10" ht="21.75" customHeight="1" x14ac:dyDescent="0.3">
      <c r="A19" s="59" t="s">
        <v>28</v>
      </c>
      <c r="B19" s="57" t="str" cm="1">
        <f t="array" ref="B19">IF(C19=0,"",_xlfn.LET(_xlpm.startW,_xlfn._xlws.FILTER('Task Tracker'!$E$8:$E$203,(TRIM('Task Tracker'!$B$8:$B$203)=TRIM($A19))*('Task Tracker'!$E$8:$E$203&lt;&gt;"")),_xlpm.endW,_xlfn._xlws.FILTER('Task Tracker'!$F$8:$F$203,(TRIM('Task Tracker'!$B$8:$B$203)=TRIM($A19))*('Task Tracker'!$F$8:$F$203&lt;&gt;"")),_xlpm.minW,MIN(--SUBSTITUTE(_xlpm.startW,"W","")),_xlpm.maxW,MAX(--SUBSTITUTE(_xlpm.endW,"W","")),IF(_xlpm.minW=_xlpm.maxW,"W"&amp;_xlpm.minW,"W"&amp;_xlpm.minW&amp;"-"&amp;"W"&amp;_xlpm.maxW)))</f>
        <v>W15</v>
      </c>
      <c r="C19" s="30" cm="1">
        <f t="array" ref="C19">SUMPRODUCT(--(TRIM('Task Tracker'!$B$8:$B$203)=TRIM($A19)),--('Task Tracker'!$D$8:$D$203&lt;&gt;""))</f>
        <v>2</v>
      </c>
      <c r="D19" s="30" cm="1">
        <f t="array" aca="1" ref="D19" ca="1">SUMPRODUCT(--(TRIM('Task Tracker'!$B$8:$B$203)=TRIM($A19)),--(LEFT('Task Tracker'!$M$8:$M$203,9)="Completed"))</f>
        <v>0</v>
      </c>
      <c r="E19" s="30" cm="1">
        <f t="array" aca="1" ref="E19" ca="1">SUMPRODUCT(--(TRIM('Task Tracker'!$B$8:$B$203)=TRIM($A19)),--('Task Tracker'!$M$8:$M$203="In Progress"))</f>
        <v>0</v>
      </c>
      <c r="F19" s="30" cm="1">
        <f t="array" aca="1" ref="F19" ca="1">SUMPRODUCT(--(TRIM('Task Tracker'!$B$8:$B$203)=TRIM($A19)),--((('Task Tracker'!$M$8:$M$203="Not Started")+('Task Tracker'!$M$8:$M$203="Due to Start"))&gt;0))</f>
        <v>2</v>
      </c>
      <c r="G19" s="58" cm="1">
        <f t="array" aca="1" ref="G19" ca="1">IFERROR(SUMPRODUCT(--(TRIM('Task Tracker'!$B$8:$B$203)=TRIM($A19)),'Task Tracker'!$H$8:$H$203,'Task Tracker'!$N$8:$N$203)/SUMPRODUCT(--(TRIM('Task Tracker'!$B$8:$B$203)=TRIM($A19)),'Task Tracker'!$H$8:$H$203),0)</f>
        <v>0</v>
      </c>
      <c r="H19" s="30" t="str" cm="1">
        <f t="array" aca="1" ref="H19" ca="1">IF(C19=0,"",IF(SUMPRODUCT(--(TRIM('Task Tracker'!$B$8:$B$203)=TRIM($A19)),--(LEFT('Task Tracker'!$M$8:$M$203,5)="Check"))&gt;0,"Check Tracker",IF(D19=C19,"Complete",IF(SUMPRODUCT(--(TRIM('Task Tracker'!$B$8:$B$203)=TRIM($A19)),--('Task Tracker'!$M$8:$M$203="Delayed"))&gt;0,"Delayed",IF(E19&gt;0,"In Progress","Not Started")))))</f>
        <v>Not Started</v>
      </c>
      <c r="I19" s="60" cm="1">
        <f t="array" ref="I19">IFERROR(MIN(_xlfn._xlws.FILTER('Task Tracker'!$I$8:$I$203,TRIM('Task Tracker'!$B$8:$B$203)=TRIM($A19))),"")</f>
        <v>46275</v>
      </c>
      <c r="J19" s="60" cm="1">
        <f t="array" ref="J19">IFERROR(MAX(_xlfn._xlws.FILTER('Task Tracker'!$J$8:$J$203,TRIM('Task Tracker'!$B$8:$B$203)=TRIM($A19))),"")</f>
        <v>46276</v>
      </c>
    </row>
    <row r="20" spans="1:10" ht="21.75" customHeight="1" x14ac:dyDescent="0.3">
      <c r="A20" s="9" t="s">
        <v>29</v>
      </c>
      <c r="B20" s="7"/>
      <c r="C20" s="7">
        <f>SUM(C12:C19)</f>
        <v>36</v>
      </c>
      <c r="D20" s="7">
        <f ca="1">SUM(D12:D19)</f>
        <v>2</v>
      </c>
      <c r="E20" s="7">
        <f ca="1">SUM(E12:E19)</f>
        <v>0</v>
      </c>
      <c r="F20" s="7">
        <f ca="1">SUM(F12:F19)</f>
        <v>33</v>
      </c>
      <c r="G20" s="10">
        <f t="shared" ref="G20" ca="1" si="0">IFERROR(D20/C20,0)</f>
        <v>5.5555555555555552E-2</v>
      </c>
      <c r="H20" s="7"/>
    </row>
    <row r="22" spans="1:10" ht="19.5" customHeight="1" x14ac:dyDescent="0.3">
      <c r="A22" s="71" t="s">
        <v>30</v>
      </c>
      <c r="B22" s="72"/>
      <c r="C22" s="72"/>
      <c r="D22" s="72"/>
      <c r="E22" s="72"/>
      <c r="F22" s="72"/>
      <c r="G22" s="72"/>
      <c r="H22" s="72"/>
    </row>
    <row r="23" spans="1:10" ht="15" customHeight="1" x14ac:dyDescent="0.3">
      <c r="A23" s="11" t="s">
        <v>31</v>
      </c>
      <c r="B23" s="11" t="s">
        <v>32</v>
      </c>
      <c r="C23" s="11" t="s">
        <v>33</v>
      </c>
      <c r="D23" s="11" t="s">
        <v>34</v>
      </c>
      <c r="E23" s="11" t="s">
        <v>35</v>
      </c>
    </row>
    <row r="24" spans="1:10" ht="19.5" customHeight="1" x14ac:dyDescent="0.3">
      <c r="A24" s="52" t="s">
        <v>36</v>
      </c>
      <c r="B24" s="12" cm="1">
        <f t="array" ref="B24">SUMPRODUCT(ISNUMBER(SEARCH($A24,'Task Tracker'!$C$8:$C$203))*('Task Tracker'!$H$8:$H$203))</f>
        <v>57</v>
      </c>
      <c r="C24" s="12" cm="1">
        <f t="array" aca="1" ref="C24" ca="1">SUMPRODUCT(ISNUMBER(SEARCH($A24,'Task Tracker'!$C$8:$C$203))*('Task Tracker'!$H$8:$H$203)*('Task Tracker'!$N$8:$N$203))</f>
        <v>17.920000000000002</v>
      </c>
      <c r="D24" s="12">
        <f ca="1">B24-C24</f>
        <v>39.08</v>
      </c>
      <c r="E24" s="13">
        <f ca="1">IFERROR(C24/B24,0)</f>
        <v>0.31438596491228071</v>
      </c>
    </row>
    <row r="25" spans="1:10" ht="19.5" customHeight="1" x14ac:dyDescent="0.3">
      <c r="A25" s="53" t="s">
        <v>37</v>
      </c>
      <c r="B25" s="12" cm="1">
        <f t="array" ref="B25">SUMPRODUCT(ISNUMBER(SEARCH($A25,'Task Tracker'!$C$8:$C$203))*('Task Tracker'!$H$8:$H$203))</f>
        <v>61</v>
      </c>
      <c r="C25" s="12" cm="1">
        <f t="array" aca="1" ref="C25" ca="1">SUMPRODUCT(ISNUMBER(SEARCH($A25,'Task Tracker'!$C$8:$C$203))*('Task Tracker'!$H$8:$H$203)*('Task Tracker'!$N$8:$N$203))</f>
        <v>3</v>
      </c>
      <c r="D25" s="12">
        <f t="shared" ref="D25:D26" ca="1" si="1">C25-D25</f>
        <v>0</v>
      </c>
      <c r="E25" s="14">
        <f t="shared" ref="E25:E26" ca="1" si="2">IFERROR(C25/B25,0)</f>
        <v>4.9180327868852458E-2</v>
      </c>
    </row>
    <row r="26" spans="1:10" ht="19.5" customHeight="1" x14ac:dyDescent="0.3">
      <c r="A26" s="52" t="s">
        <v>38</v>
      </c>
      <c r="B26" s="12" cm="1">
        <f t="array" ref="B26">SUMPRODUCT(ISNUMBER(SEARCH($A26,'Task Tracker'!$C$8:$C$203))*('Task Tracker'!$H$8:$H$203))</f>
        <v>10</v>
      </c>
      <c r="C26" s="12" cm="1">
        <f t="array" aca="1" ref="C26" ca="1">SUMPRODUCT(ISNUMBER(SEARCH($A26,'Task Tracker'!$C$8:$C$203))*('Task Tracker'!$H$8:$H$203)*('Task Tracker'!$N$8:$N$203))</f>
        <v>0</v>
      </c>
      <c r="D26" s="12">
        <f t="shared" ca="1" si="1"/>
        <v>0</v>
      </c>
      <c r="E26" s="13">
        <f t="shared" ca="1" si="2"/>
        <v>0</v>
      </c>
    </row>
    <row r="27" spans="1:10" ht="19.5" customHeight="1" x14ac:dyDescent="0.3">
      <c r="A27" s="9" t="s">
        <v>39</v>
      </c>
      <c r="B27" s="15">
        <f>SUM(B24:B26)</f>
        <v>128</v>
      </c>
      <c r="C27" s="16">
        <f ca="1">SUM(C24:C26)</f>
        <v>20.92</v>
      </c>
      <c r="D27" s="15">
        <f ca="1">B27-C27</f>
        <v>107.08</v>
      </c>
      <c r="E27" s="10">
        <f ca="1">IFERROR(C27/B27,0)</f>
        <v>0.16343750000000001</v>
      </c>
    </row>
  </sheetData>
  <mergeCells count="22">
    <mergeCell ref="M9:N9"/>
    <mergeCell ref="A1:R1"/>
    <mergeCell ref="A2:R2"/>
    <mergeCell ref="A5:B5"/>
    <mergeCell ref="D5:E5"/>
    <mergeCell ref="G5:H5"/>
    <mergeCell ref="J5:K5"/>
    <mergeCell ref="M5:N5"/>
    <mergeCell ref="M6:N6"/>
    <mergeCell ref="A7:B7"/>
    <mergeCell ref="G7:H7"/>
    <mergeCell ref="M7:N7"/>
    <mergeCell ref="A8:B8"/>
    <mergeCell ref="G8:H8"/>
    <mergeCell ref="M8:N8"/>
    <mergeCell ref="A22:H22"/>
    <mergeCell ref="A6:B6"/>
    <mergeCell ref="D6:E9"/>
    <mergeCell ref="G6:H6"/>
    <mergeCell ref="J6:K9"/>
    <mergeCell ref="A9:B9"/>
    <mergeCell ref="G9:H9"/>
  </mergeCells>
  <dataValidations disablePrompts="1" count="1">
    <dataValidation type="list" sqref="N3" xr:uid="{00000000-0002-0000-0100-000000000000}">
      <formula1>"On Track,At Risk,Delayed,Complete"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Header>&amp;L&amp;"Aptos"&amp;10&amp;K000000 RESTRICTED&amp;1#_x000D_</oddHeader>
    <oddFooter>&amp;R_x000D_&amp;1#&amp;"Aptos"&amp;10&amp;K000000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6"/>
  <sheetViews>
    <sheetView showGridLines="0" tabSelected="1" zoomScaleNormal="100" workbookViewId="0">
      <pane ySplit="7" topLeftCell="A8" activePane="bottomLeft" state="frozen"/>
      <selection pane="bottomLeft" activeCell="B17" sqref="B17"/>
    </sheetView>
  </sheetViews>
  <sheetFormatPr defaultColWidth="8.6640625" defaultRowHeight="14.4" x14ac:dyDescent="0.3"/>
  <cols>
    <col min="1" max="1" width="7.6640625" customWidth="1"/>
    <col min="2" max="2" width="22.33203125" customWidth="1"/>
    <col min="3" max="3" width="17.6640625" customWidth="1"/>
    <col min="4" max="4" width="38" customWidth="1"/>
    <col min="5" max="7" width="12" customWidth="1"/>
    <col min="8" max="8" width="9" customWidth="1"/>
    <col min="9" max="9" width="15.33203125" customWidth="1"/>
    <col min="10" max="10" width="16.6640625" customWidth="1"/>
    <col min="11" max="11" width="14.6640625" customWidth="1"/>
    <col min="12" max="12" width="17.44140625" customWidth="1"/>
    <col min="13" max="13" width="16.33203125" customWidth="1"/>
    <col min="14" max="14" width="11" customWidth="1"/>
    <col min="15" max="16" width="12" customWidth="1"/>
    <col min="17" max="17" width="28.44140625" customWidth="1"/>
    <col min="18" max="18" width="18.6640625" customWidth="1"/>
  </cols>
  <sheetData>
    <row r="1" spans="1:18" ht="33.75" customHeight="1" x14ac:dyDescent="0.3">
      <c r="A1" s="40" t="s">
        <v>40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</row>
    <row r="2" spans="1:18" ht="18" customHeight="1" x14ac:dyDescent="0.3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1:18" ht="24" hidden="1" customHeight="1" x14ac:dyDescent="0.3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</row>
    <row r="4" spans="1:18" ht="24" hidden="1" customHeight="1" x14ac:dyDescent="0.3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</row>
    <row r="5" spans="1:18" ht="9.75" hidden="1" customHeight="1" x14ac:dyDescent="0.3"/>
    <row r="6" spans="1:18" ht="15" hidden="1" customHeight="1" x14ac:dyDescent="0.3"/>
    <row r="7" spans="1:18" ht="36" customHeight="1" x14ac:dyDescent="0.3">
      <c r="A7" s="17" t="s">
        <v>41</v>
      </c>
      <c r="B7" s="39" t="s">
        <v>42</v>
      </c>
      <c r="C7" s="17" t="s">
        <v>43</v>
      </c>
      <c r="D7" s="17" t="s">
        <v>44</v>
      </c>
      <c r="E7" s="17" t="s">
        <v>45</v>
      </c>
      <c r="F7" s="17" t="s">
        <v>46</v>
      </c>
      <c r="G7" s="39" t="s">
        <v>155</v>
      </c>
      <c r="H7" s="39" t="s">
        <v>47</v>
      </c>
      <c r="I7" s="45" t="s">
        <v>48</v>
      </c>
      <c r="J7" s="39" t="s">
        <v>49</v>
      </c>
      <c r="K7" s="39" t="s">
        <v>50</v>
      </c>
      <c r="L7" s="39" t="s">
        <v>51</v>
      </c>
      <c r="M7" s="17" t="s">
        <v>21</v>
      </c>
      <c r="N7" s="17" t="s">
        <v>52</v>
      </c>
      <c r="O7" s="17" t="s">
        <v>53</v>
      </c>
      <c r="P7" s="17" t="s">
        <v>151</v>
      </c>
      <c r="Q7" s="17" t="s">
        <v>54</v>
      </c>
      <c r="R7" s="17" t="s">
        <v>55</v>
      </c>
    </row>
    <row r="8" spans="1:18" ht="21.75" customHeight="1" x14ac:dyDescent="0.3">
      <c r="A8" s="18">
        <v>1</v>
      </c>
      <c r="B8" s="43" t="s">
        <v>56</v>
      </c>
      <c r="C8" s="29" t="s">
        <v>36</v>
      </c>
      <c r="D8" s="37" t="s">
        <v>57</v>
      </c>
      <c r="E8" s="29" t="str">
        <f>IF(ISNUMBER(I8),"W"&amp;MAX(0,INT((NETWORKDAYS(Dashboard!$B$3,I8,offday[Date])-1)/5)),"")</f>
        <v>W0</v>
      </c>
      <c r="F8" s="44" t="str">
        <f>IF(ISNUMBER(J8),"W"&amp;MAX(0,INT((NETWORKDAYS(Dashboard!$B$3,J8,offday[Date])-1)/5)),"")</f>
        <v>W1</v>
      </c>
      <c r="G8" s="44"/>
      <c r="H8" s="19">
        <v>8</v>
      </c>
      <c r="I8" s="47">
        <f>IF(H8="","",IF(ROW()=8,Dashboard!$B$3,IF(G8="",IFERROR(WORKDAY(J7,1,offday[Date]),"Check Predecessor"),IFERROR(WORKDAY(INDEX($J$8:$J$203,MATCH(G8,$A$8:$A$203,0)),1,offday[Date]),"Check Predecessor"))))</f>
        <v>46148</v>
      </c>
      <c r="J8" s="48">
        <f>IF(H8="","",IF(ISNUMBER(I8),WORKDAY(I8,H8-1,offday[Date]),"Check Predecessor"))</f>
        <v>46160</v>
      </c>
      <c r="K8" s="47">
        <v>46146</v>
      </c>
      <c r="L8" s="47">
        <v>46161</v>
      </c>
      <c r="M8" s="49" t="str">
        <f ca="1">IFERROR(IF(H8="","",IF(OR(NOT(ISNUMBER(I8)),NOT(ISNUMBER(J8))),"Check Plan",IF(AND(L8&lt;&gt;"",K8=""),"Check Actual Start",IF(AND(K8&lt;&gt;"",L8&lt;&gt;"",L8&lt;K8),"Delayed",IF(AND(K8&lt;&gt;"",OR(L8="",L8&gt;TODAY())),"In Progress",IF(L8&lt;&gt;"",IF(L8&lt;J8,"Completed Early",IF(L8=J8,"Completed On Time","Delayed")),IF(TODAY()=I8,"Due to Start",IF(AND(I8&gt;TODAY(),I8&lt;=TODAY()+7),"Starts in "&amp;(I8-TODAY())&amp;" day"&amp;IF((I8-TODAY())=1,"","s"),IF(TODAY()&lt;I8,"Not Started","Delayed"))))))))),"Check Date")</f>
        <v>Delayed</v>
      </c>
      <c r="N8" s="20">
        <f ca="1">IFERROR(IF(LEFT(M8,9)="Completed",1,IF(OR(M8="Not Started",M8="Due to Start"),0,IF(OR(M8="In Progress",M8="Delayed"),IF(K8="",0,MIN(0.99,NETWORKDAYS(K8,TODAY(),offday[Date])/MAX(1,NETWORKDAYS(K8,J8,offday[Date])))),0))),"")</f>
        <v>0.99</v>
      </c>
      <c r="O8" s="21">
        <f ca="1">IFERROR(IF(NOT(ISNUMBER(J8)),"",IF(AND(L8&lt;&gt;"",ISNUMBER(L8),L8&lt;=TODAY()),MAX(0,NETWORKDAYS(J8,L8,offday[Date])-1),IF(TODAY()&gt;J8,MAX(0,NETWORKDAYS(J8,TODAY(),offday[Date])-1),"-"))),"-")</f>
        <v>1</v>
      </c>
      <c r="P8" s="21">
        <f>IF(OR(NOT(ISNUMBER(I8)),NOT(ISNUMBER(J8))),"",(J8-I8+1)-NETWORKDAYS(I8,J8,offday[Date]))</f>
        <v>5</v>
      </c>
      <c r="Q8" s="33" t="s">
        <v>142</v>
      </c>
      <c r="R8" s="34"/>
    </row>
    <row r="9" spans="1:18" ht="21.75" customHeight="1" x14ac:dyDescent="0.3">
      <c r="A9" s="18">
        <v>2</v>
      </c>
      <c r="B9" s="43" t="s">
        <v>56</v>
      </c>
      <c r="C9" s="29" t="s">
        <v>36</v>
      </c>
      <c r="D9" s="31" t="s">
        <v>58</v>
      </c>
      <c r="E9" s="29" t="str">
        <f>IF(ISNUMBER(I9),"W"&amp;MAX(0,INT((NETWORKDAYS(Dashboard!$B$3,I9,offday[Date])-1)/5)),"")</f>
        <v>W1</v>
      </c>
      <c r="F9" s="44" t="str">
        <f>IF(ISNUMBER(J9),"W"&amp;MAX(0,INT((NETWORKDAYS(Dashboard!$B$3,J9,offday[Date])-1)/5)),"")</f>
        <v>W2</v>
      </c>
      <c r="G9" s="44"/>
      <c r="H9" s="19">
        <v>7</v>
      </c>
      <c r="I9" s="47">
        <f>IF(H9="","",IF(ROW()=8,Dashboard!$B$3,IF(G9="",IFERROR(WORKDAY(J8,1,offday[Date]),"Check Predecessor"),IFERROR(WORKDAY(INDEX($J$8:$J$203,MATCH(G9,$A$8:$A$203,0)),1,offday[Date]),"Check Predecessor"))))</f>
        <v>46161</v>
      </c>
      <c r="J9" s="48">
        <f>IF(H9="","",IF(ISNUMBER(I9),WORKDAY(I9,H9-1,offday[Date]),"Check Predecessor"))</f>
        <v>46176</v>
      </c>
      <c r="K9" s="47">
        <v>46164</v>
      </c>
      <c r="L9" s="47">
        <v>46168</v>
      </c>
      <c r="M9" s="49" t="str">
        <f t="shared" ref="M9:M44" ca="1" si="0">IFERROR(IF(H9="","",IF(OR(NOT(ISNUMBER(I9)),NOT(ISNUMBER(J9))),"Check Plan",IF(AND(L9&lt;&gt;"",K9=""),"Check Actual Start",IF(AND(K9&lt;&gt;"",L9&lt;&gt;"",L9&lt;K9),"Delayed",IF(AND(K9&lt;&gt;"",OR(L9="",L9&gt;TODAY())),"In Progress",IF(L9&lt;&gt;"",IF(L9&lt;J9,"Completed Early",IF(L9=J9,"Completed On Time","Delayed")),IF(TODAY()=I9,"Due to Start",IF(AND(I9&gt;TODAY(),I9&lt;=TODAY()+7),"Starts in "&amp;(I9-TODAY())&amp;" day"&amp;IF((I9-TODAY())=1,"","s"),IF(TODAY()&lt;I9,"Not Started","Delayed"))))))))),"Check Date")</f>
        <v>Completed Early</v>
      </c>
      <c r="N9" s="20">
        <f ca="1">IFERROR(IF(LEFT(M9,9)="Completed",1,IF(OR(M9="Not Started",M9="Due to Start"),0,IF(OR(M9="In Progress",M9="Delayed"),IF(K9="",0,MIN(0.99,NETWORKDAYS(K9,TODAY(),offday[Date])/MAX(1,NETWORKDAYS(K9,J9,offday[Date])))),0))),"")</f>
        <v>1</v>
      </c>
      <c r="O9" s="21">
        <f ca="1">IFERROR(IF(NOT(ISNUMBER(J9)),"",IF(AND(L9&lt;&gt;"",ISNUMBER(L9),L9&lt;=TODAY()),MAX(0,NETWORKDAYS(J9,L9,offday[Date])-1),IF(TODAY()&gt;J9,MAX(0,NETWORKDAYS(J9,TODAY(),offday[Date])-1),"-"))),"-")</f>
        <v>0</v>
      </c>
      <c r="P9" s="21">
        <f>IF(OR(NOT(ISNUMBER(I9)),NOT(ISNUMBER(J9))),"",(J9-I9+1)-NETWORKDAYS(I9,J9,offday[Date]))</f>
        <v>9</v>
      </c>
      <c r="Q9" s="33"/>
      <c r="R9" s="34"/>
    </row>
    <row r="10" spans="1:18" ht="21.75" customHeight="1" x14ac:dyDescent="0.3">
      <c r="A10" s="18">
        <v>3</v>
      </c>
      <c r="B10" s="43" t="s">
        <v>56</v>
      </c>
      <c r="C10" s="30" t="s">
        <v>154</v>
      </c>
      <c r="D10" s="38" t="s">
        <v>153</v>
      </c>
      <c r="E10" s="29" t="str">
        <f>IF(ISNUMBER(I10),"W"&amp;MAX(0,INT((NETWORKDAYS(Dashboard!$B$3,I10,offday[Date])-1)/5)),"")</f>
        <v>W3</v>
      </c>
      <c r="F10" s="44" t="str">
        <f>IF(ISNUMBER(J10),"W"&amp;MAX(0,INT((NETWORKDAYS(Dashboard!$B$3,J10,offday[Date])-1)/5)),"")</f>
        <v>W3</v>
      </c>
      <c r="G10" s="44"/>
      <c r="H10" s="19">
        <v>3</v>
      </c>
      <c r="I10" s="47">
        <f>IF(H10="","",IF(ROW()=8,Dashboard!$B$3,IF(G10="",IFERROR(WORKDAY(J9,1,offday[Date]),"Check Predecessor"),IFERROR(WORKDAY(INDEX($J$8:$J$203,MATCH(G10,$A$8:$A$203,0)),1,offday[Date]),"Check Predecessor"))))</f>
        <v>46177</v>
      </c>
      <c r="J10" s="48">
        <f>IF(H10="","",IF(ISNUMBER(I10),WORKDAY(I10,H10-1,offday[Date]),"Check Predecessor"))</f>
        <v>46181</v>
      </c>
      <c r="K10" s="47">
        <v>46169</v>
      </c>
      <c r="L10" s="47">
        <v>46178</v>
      </c>
      <c r="M10" s="49" t="str">
        <f t="shared" ca="1" si="0"/>
        <v>Completed Early</v>
      </c>
      <c r="N10" s="20">
        <f ca="1">IFERROR(IF(LEFT(M10,9)="Completed",1,IF(OR(M10="Not Started",M10="Due to Start"),0,IF(OR(M10="In Progress",M10="Delayed"),IF(K10="",0,MIN(0.99,NETWORKDAYS(K10,TODAY(),offday[Date])/MAX(1,NETWORKDAYS(K10,J10,offday[Date])))),0))),"")</f>
        <v>1</v>
      </c>
      <c r="O10" s="21">
        <f ca="1">IFERROR(IF(NOT(ISNUMBER(J10)),"",IF(AND(L10&lt;&gt;"",ISNUMBER(L10),L10&lt;=TODAY()),MAX(0,NETWORKDAYS(J10,L10,offday[Date])-1),IF(TODAY()&gt;J10,MAX(0,NETWORKDAYS(J10,TODAY(),offday[Date])-1),"-"))),"-")</f>
        <v>0</v>
      </c>
      <c r="P10" s="21">
        <f>IF(OR(NOT(ISNUMBER(I10)),NOT(ISNUMBER(J10))),"",(J10-I10+1)-NETWORKDAYS(I10,J10,offday[Date]))</f>
        <v>2</v>
      </c>
      <c r="Q10" s="35" t="s">
        <v>147</v>
      </c>
      <c r="R10" s="36"/>
    </row>
    <row r="11" spans="1:18" ht="21.75" customHeight="1" x14ac:dyDescent="0.3">
      <c r="A11" s="18">
        <v>4</v>
      </c>
      <c r="B11" s="70" t="s">
        <v>149</v>
      </c>
      <c r="C11" s="30" t="s">
        <v>154</v>
      </c>
      <c r="D11" s="38" t="s">
        <v>150</v>
      </c>
      <c r="E11" s="29" t="str">
        <f>IF(ISNUMBER(I11),"W"&amp;MAX(0,INT((NETWORKDAYS(Dashboard!$B$3,I11,offday[Date])-1)/5)),"")</f>
        <v>W3</v>
      </c>
      <c r="F11" s="44" t="str">
        <f>IF(ISNUMBER(J11),"W"&amp;MAX(0,INT((NETWORKDAYS(Dashboard!$B$3,J11,offday[Date])-1)/5)),"")</f>
        <v>W4</v>
      </c>
      <c r="G11" s="44"/>
      <c r="H11" s="19">
        <v>3</v>
      </c>
      <c r="I11" s="47">
        <f>IF(H11="","",IF(ROW()=8,Dashboard!$B$3,IF(G11="",IFERROR(WORKDAY(J10,1,offday[Date]),"Check Predecessor"),IFERROR(WORKDAY(INDEX($J$8:$J$203,MATCH(G11,$A$8:$A$203,0)),1,offday[Date]),"Check Predecessor"))))</f>
        <v>46182</v>
      </c>
      <c r="J11" s="48">
        <f>IF(H11="","",IF(ISNUMBER(I11),WORKDAY(I11,H11-1,offday[Date]),"Check Predecessor"))</f>
        <v>46190</v>
      </c>
      <c r="K11" s="47"/>
      <c r="L11" s="48"/>
      <c r="M11" s="49" t="str">
        <f t="shared" ca="1" si="0"/>
        <v>Starts in 1 day</v>
      </c>
      <c r="N11" s="20">
        <f ca="1">IFERROR(IF(LEFT(M11,9)="Completed",1,IF(OR(M11="Not Started",M11="Due to Start"),0,IF(OR(M11="In Progress",M11="Delayed"),IF(K11="",0,MIN(0.99,NETWORKDAYS(K11,TODAY(),offday[Date])/MAX(1,NETWORKDAYS(K11,J11,offday[Date])))),0))),"")</f>
        <v>0</v>
      </c>
      <c r="O11" s="21" t="str">
        <f ca="1">IFERROR(IF(NOT(ISNUMBER(J11)),"",IF(AND(L11&lt;&gt;"",ISNUMBER(L11),L11&lt;=TODAY()),MAX(0,NETWORKDAYS(J11,L11,offday[Date])-1),IF(TODAY()&gt;J11,MAX(0,NETWORKDAYS(J11,TODAY(),offday[Date])-1),"-"))),"-")</f>
        <v>-</v>
      </c>
      <c r="P11" s="21">
        <f>IF(OR(NOT(ISNUMBER(I11)),NOT(ISNUMBER(J11))),"",(J11-I11+1)-NETWORKDAYS(I11,J11,offday[Date]))</f>
        <v>6</v>
      </c>
      <c r="Q11" s="35"/>
      <c r="R11" s="36"/>
    </row>
    <row r="12" spans="1:18" ht="21.75" customHeight="1" x14ac:dyDescent="0.3">
      <c r="A12" s="18">
        <v>5</v>
      </c>
      <c r="B12" s="43" t="s">
        <v>56</v>
      </c>
      <c r="C12" s="29" t="s">
        <v>36</v>
      </c>
      <c r="D12" s="37" t="s">
        <v>156</v>
      </c>
      <c r="E12" s="29" t="str">
        <f>IF(ISNUMBER(I12),"W"&amp;MAX(0,INT((NETWORKDAYS(Dashboard!$B$3,I12,offday[Date])-1)/5)),"")</f>
        <v>W4</v>
      </c>
      <c r="F12" s="44" t="str">
        <f>IF(ISNUMBER(J12),"W"&amp;MAX(0,INT((NETWORKDAYS(Dashboard!$B$3,J12,offday[Date])-1)/5)),"")</f>
        <v>W4</v>
      </c>
      <c r="G12" s="44"/>
      <c r="H12" s="19">
        <v>3</v>
      </c>
      <c r="I12" s="47">
        <f>IF(H12="","",IF(ROW()=8,Dashboard!$B$3,IF(G12="",IFERROR(WORKDAY(J11,1,offday[Date]),"Check Predecessor"),IFERROR(WORKDAY(INDEX($J$8:$J$203,MATCH(G12,$A$8:$A$203,0)),1,offday[Date]),"Check Predecessor"))))</f>
        <v>46191</v>
      </c>
      <c r="J12" s="48">
        <f>IF(H12="","",IF(ISNUMBER(I12),WORKDAY(I12,H12-1,offday[Date]),"Check Predecessor"))</f>
        <v>46195</v>
      </c>
      <c r="K12" s="47"/>
      <c r="L12" s="48"/>
      <c r="M12" s="49" t="str">
        <f t="shared" ca="1" si="0"/>
        <v>Not Started</v>
      </c>
      <c r="N12" s="20">
        <f ca="1">IFERROR(IF(LEFT(M12,9)="Completed",1,IF(OR(M12="Not Started",M12="Due to Start"),0,IF(OR(M12="In Progress",M12="Delayed"),IF(K12="",0,MIN(0.99,NETWORKDAYS(K12,TODAY(),offday[Date])/MAX(1,NETWORKDAYS(K12,J12,offday[Date])))),0))),"")</f>
        <v>0</v>
      </c>
      <c r="O12" s="21" t="str">
        <f ca="1">IFERROR(IF(NOT(ISNUMBER(J12)),"",IF(AND(L12&lt;&gt;"",ISNUMBER(L12),L12&lt;=TODAY()),MAX(0,NETWORKDAYS(J12,L12,offday[Date])-1),IF(TODAY()&gt;J12,MAX(0,NETWORKDAYS(J12,TODAY(),offday[Date])-1),"-"))),"-")</f>
        <v>-</v>
      </c>
      <c r="P12" s="21">
        <f>IF(OR(NOT(ISNUMBER(I12)),NOT(ISNUMBER(J12))),"",(J12-I12+1)-NETWORKDAYS(I12,J12,offday[Date]))</f>
        <v>2</v>
      </c>
      <c r="Q12" s="33" t="s">
        <v>59</v>
      </c>
      <c r="R12" s="34"/>
    </row>
    <row r="13" spans="1:18" ht="21.75" customHeight="1" x14ac:dyDescent="0.3">
      <c r="A13" s="18">
        <v>6</v>
      </c>
      <c r="B13" s="43" t="s">
        <v>56</v>
      </c>
      <c r="C13" s="30" t="s">
        <v>36</v>
      </c>
      <c r="D13" s="31" t="s">
        <v>157</v>
      </c>
      <c r="E13" s="29" t="str">
        <f>IF(ISNUMBER(I13),"W"&amp;MAX(0,INT((NETWORKDAYS(Dashboard!$B$3,I13,offday[Date])-1)/5)),"")</f>
        <v>W4</v>
      </c>
      <c r="F13" s="44" t="str">
        <f>IF(ISNUMBER(J13),"W"&amp;MAX(0,INT((NETWORKDAYS(Dashboard!$B$3,J13,offday[Date])-1)/5)),"")</f>
        <v>W4</v>
      </c>
      <c r="G13" s="44">
        <v>4</v>
      </c>
      <c r="H13" s="19">
        <v>2</v>
      </c>
      <c r="I13" s="47">
        <f>IF(H13="","",IF(ROW()=8,Dashboard!$B$3,IF(G13="",IFERROR(WORKDAY(J12,1,offday[Date]),"Check Predecessor"),IFERROR(WORKDAY(INDEX($J$8:$J$203,MATCH(G13,$A$8:$A$203,0)),1,offday[Date]),"Check Predecessor"))))</f>
        <v>46191</v>
      </c>
      <c r="J13" s="48">
        <f>IF(H13="","",IF(ISNUMBER(I13),WORKDAY(I13,H13-1,offday[Date]),"Check Predecessor"))</f>
        <v>46192</v>
      </c>
      <c r="K13" s="47"/>
      <c r="L13" s="48"/>
      <c r="M13" s="49" t="str">
        <f t="shared" ca="1" si="0"/>
        <v>Not Started</v>
      </c>
      <c r="N13" s="20">
        <f ca="1">IFERROR(IF(LEFT(M13,9)="Completed",1,IF(OR(M13="Not Started",M13="Due to Start"),0,IF(OR(M13="In Progress",M13="Delayed"),IF(K13="",0,MIN(0.99,NETWORKDAYS(K13,TODAY(),offday[Date])/MAX(1,NETWORKDAYS(K13,J13,offday[Date])))),0))),"")</f>
        <v>0</v>
      </c>
      <c r="O13" s="21" t="str">
        <f ca="1">IFERROR(IF(NOT(ISNUMBER(J13)),"",IF(AND(L13&lt;&gt;"",ISNUMBER(L13),L13&lt;=TODAY()),MAX(0,NETWORKDAYS(J13,L13,offday[Date])-1),IF(TODAY()&gt;J13,MAX(0,NETWORKDAYS(J13,TODAY(),offday[Date])-1),"-"))),"-")</f>
        <v>-</v>
      </c>
      <c r="P13" s="21">
        <f>IF(OR(NOT(ISNUMBER(I13)),NOT(ISNUMBER(J13))),"",(J13-I13+1)-NETWORKDAYS(I13,J13,offday[Date]))</f>
        <v>0</v>
      </c>
      <c r="Q13" s="33" t="s">
        <v>60</v>
      </c>
      <c r="R13" s="34"/>
    </row>
    <row r="14" spans="1:18" ht="21.75" customHeight="1" x14ac:dyDescent="0.3">
      <c r="A14" s="18">
        <v>7</v>
      </c>
      <c r="B14" s="28" t="s">
        <v>143</v>
      </c>
      <c r="C14" s="29" t="s">
        <v>37</v>
      </c>
      <c r="D14" s="31" t="s">
        <v>61</v>
      </c>
      <c r="E14" s="29" t="str">
        <f>IF(ISNUMBER(I14),"W"&amp;MAX(0,INT((NETWORKDAYS(Dashboard!$B$3,I14,offday[Date])-1)/5)),"")</f>
        <v>W4</v>
      </c>
      <c r="F14" s="44" t="str">
        <f>IF(ISNUMBER(J14),"W"&amp;MAX(0,INT((NETWORKDAYS(Dashboard!$B$3,J14,offday[Date])-1)/5)),"")</f>
        <v>W5</v>
      </c>
      <c r="G14" s="44">
        <v>4</v>
      </c>
      <c r="H14" s="19">
        <v>5</v>
      </c>
      <c r="I14" s="47">
        <f>IF(H14="","",IF(ROW()=8,Dashboard!$B$3,IF(G14="",IFERROR(WORKDAY(J13,1,offday[Date]),"Check Predecessor"),IFERROR(WORKDAY(INDEX($J$8:$J$203,MATCH(G14,$A$8:$A$203,0)),1,offday[Date]),"Check Predecessor"))))</f>
        <v>46191</v>
      </c>
      <c r="J14" s="48">
        <f>IF(H14="","",IF(ISNUMBER(I14),WORKDAY(I14,H14-1,offday[Date]),"Check Predecessor"))</f>
        <v>46202</v>
      </c>
      <c r="K14" s="47"/>
      <c r="L14" s="48"/>
      <c r="M14" s="49" t="str">
        <f t="shared" ca="1" si="0"/>
        <v>Not Started</v>
      </c>
      <c r="N14" s="20">
        <f ca="1">IFERROR(IF(LEFT(M14,9)="Completed",1,IF(OR(M14="Not Started",M14="Due to Start"),0,IF(OR(M14="In Progress",M14="Delayed"),IF(K14="",0,MIN(0.99,NETWORKDAYS(K14,TODAY(),offday[Date])/MAX(1,NETWORKDAYS(K14,J14,offday[Date])))),0))),"")</f>
        <v>0</v>
      </c>
      <c r="O14" s="21" t="str">
        <f ca="1">IFERROR(IF(NOT(ISNUMBER(J14)),"",IF(AND(L14&lt;&gt;"",ISNUMBER(L14),L14&lt;=TODAY()),MAX(0,NETWORKDAYS(J14,L14,offday[Date])-1),IF(TODAY()&gt;J14,MAX(0,NETWORKDAYS(J14,TODAY(),offday[Date])-1),"-"))),"-")</f>
        <v>-</v>
      </c>
      <c r="P14" s="21">
        <f>IF(OR(NOT(ISNUMBER(I14)),NOT(ISNUMBER(J14))),"",(J14-I14+1)-NETWORKDAYS(I14,J14,offday[Date]))</f>
        <v>7</v>
      </c>
      <c r="Q14" s="33"/>
      <c r="R14" s="34"/>
    </row>
    <row r="15" spans="1:18" ht="21.75" customHeight="1" x14ac:dyDescent="0.3">
      <c r="A15" s="18">
        <v>8</v>
      </c>
      <c r="B15" s="28" t="s">
        <v>143</v>
      </c>
      <c r="C15" s="29" t="s">
        <v>37</v>
      </c>
      <c r="D15" s="32" t="s">
        <v>62</v>
      </c>
      <c r="E15" s="29" t="str">
        <f>IF(ISNUMBER(I15),"W"&amp;MAX(0,INT((NETWORKDAYS(Dashboard!$B$3,I15,offday[Date])-1)/5)),"")</f>
        <v>W5</v>
      </c>
      <c r="F15" s="44" t="str">
        <f>IF(ISNUMBER(J15),"W"&amp;MAX(0,INT((NETWORKDAYS(Dashboard!$B$3,J15,offday[Date])-1)/5)),"")</f>
        <v>W5</v>
      </c>
      <c r="G15" s="44"/>
      <c r="H15" s="19">
        <v>2</v>
      </c>
      <c r="I15" s="47">
        <f>IF(H15="","",IF(ROW()=8,Dashboard!$B$3,IF(G15="",IFERROR(WORKDAY(J14,1,offday[Date]),"Check Predecessor"),IFERROR(WORKDAY(INDEX($J$8:$J$203,MATCH(G15,$A$8:$A$203,0)),1,offday[Date]),"Check Predecessor"))))</f>
        <v>46203</v>
      </c>
      <c r="J15" s="48">
        <f>IF(H15="","",IF(ISNUMBER(I15),WORKDAY(I15,H15-1,offday[Date]),"Check Predecessor"))</f>
        <v>46204</v>
      </c>
      <c r="K15" s="47"/>
      <c r="L15" s="48"/>
      <c r="M15" s="49" t="str">
        <f t="shared" ca="1" si="0"/>
        <v>Not Started</v>
      </c>
      <c r="N15" s="20">
        <f ca="1">IFERROR(IF(LEFT(M15,9)="Completed",1,IF(OR(M15="Not Started",M15="Due to Start"),0,IF(OR(M15="In Progress",M15="Delayed"),IF(K15="",0,MIN(0.99,NETWORKDAYS(K15,TODAY(),offday[Date])/MAX(1,NETWORKDAYS(K15,J15,offday[Date])))),0))),"")</f>
        <v>0</v>
      </c>
      <c r="O15" s="21" t="str">
        <f ca="1">IFERROR(IF(NOT(ISNUMBER(J15)),"",IF(AND(L15&lt;&gt;"",ISNUMBER(L15),L15&lt;=TODAY()),MAX(0,NETWORKDAYS(J15,L15,offday[Date])-1),IF(TODAY()&gt;J15,MAX(0,NETWORKDAYS(J15,TODAY(),offday[Date])-1),"-"))),"-")</f>
        <v>-</v>
      </c>
      <c r="P15" s="21">
        <f>IF(OR(NOT(ISNUMBER(I15)),NOT(ISNUMBER(J15))),"",(J15-I15+1)-NETWORKDAYS(I15,J15,offday[Date]))</f>
        <v>0</v>
      </c>
      <c r="Q15" s="35" t="s">
        <v>63</v>
      </c>
      <c r="R15" s="36"/>
    </row>
    <row r="16" spans="1:18" ht="21.75" customHeight="1" x14ac:dyDescent="0.3">
      <c r="A16" s="18">
        <v>9</v>
      </c>
      <c r="B16" s="28" t="s">
        <v>143</v>
      </c>
      <c r="C16" s="29" t="s">
        <v>37</v>
      </c>
      <c r="D16" s="31" t="s">
        <v>64</v>
      </c>
      <c r="E16" s="29" t="str">
        <f>IF(ISNUMBER(I16),"W"&amp;MAX(0,INT((NETWORKDAYS(Dashboard!$B$3,I16,offday[Date])-1)/5)),"")</f>
        <v>W5</v>
      </c>
      <c r="F16" s="44" t="str">
        <f>IF(ISNUMBER(J16),"W"&amp;MAX(0,INT((NETWORKDAYS(Dashboard!$B$3,J16,offday[Date])-1)/5)),"")</f>
        <v>W5</v>
      </c>
      <c r="G16" s="44"/>
      <c r="H16" s="19">
        <v>1</v>
      </c>
      <c r="I16" s="47">
        <f>IF(H16="","",IF(ROW()=8,Dashboard!$B$3,IF(G16="",IFERROR(WORKDAY(J15,1,offday[Date]),"Check Predecessor"),IFERROR(WORKDAY(INDEX($J$8:$J$203,MATCH(G16,$A$8:$A$203,0)),1,offday[Date]),"Check Predecessor"))))</f>
        <v>46205</v>
      </c>
      <c r="J16" s="48">
        <f>IF(H16="","",IF(ISNUMBER(I16),WORKDAY(I16,H16-1,offday[Date]),"Check Predecessor"))</f>
        <v>46205</v>
      </c>
      <c r="K16" s="47"/>
      <c r="L16" s="48"/>
      <c r="M16" s="49" t="str">
        <f t="shared" ca="1" si="0"/>
        <v>Not Started</v>
      </c>
      <c r="N16" s="20">
        <f ca="1">IFERROR(IF(LEFT(M16,9)="Completed",1,IF(OR(M16="Not Started",M16="Due to Start"),0,IF(OR(M16="In Progress",M16="Delayed"),IF(K16="",0,MIN(0.99,NETWORKDAYS(K16,TODAY(),offday[Date])/MAX(1,NETWORKDAYS(K16,J16,offday[Date])))),0))),"")</f>
        <v>0</v>
      </c>
      <c r="O16" s="21" t="str">
        <f ca="1">IFERROR(IF(NOT(ISNUMBER(J16)),"",IF(AND(L16&lt;&gt;"",ISNUMBER(L16),L16&lt;=TODAY()),MAX(0,NETWORKDAYS(J16,L16,offday[Date])-1),IF(TODAY()&gt;J16,MAX(0,NETWORKDAYS(J16,TODAY(),offday[Date])-1),"-"))),"-")</f>
        <v>-</v>
      </c>
      <c r="P16" s="21">
        <f>IF(OR(NOT(ISNUMBER(I16)),NOT(ISNUMBER(J16))),"",(J16-I16+1)-NETWORKDAYS(I16,J16,offday[Date]))</f>
        <v>0</v>
      </c>
      <c r="Q16" s="33" t="s">
        <v>65</v>
      </c>
      <c r="R16" s="34"/>
    </row>
    <row r="17" spans="1:18" ht="21.75" customHeight="1" x14ac:dyDescent="0.3">
      <c r="A17" s="18">
        <v>10</v>
      </c>
      <c r="B17" s="28" t="s">
        <v>143</v>
      </c>
      <c r="C17" s="29" t="s">
        <v>37</v>
      </c>
      <c r="D17" s="32" t="s">
        <v>66</v>
      </c>
      <c r="E17" s="29" t="str">
        <f>IF(ISNUMBER(I17),"W"&amp;MAX(0,INT((NETWORKDAYS(Dashboard!$B$3,I17,offday[Date])-1)/5)),"")</f>
        <v>W5</v>
      </c>
      <c r="F17" s="44" t="str">
        <f>IF(ISNUMBER(J17),"W"&amp;MAX(0,INT((NETWORKDAYS(Dashboard!$B$3,J17,offday[Date])-1)/5)),"")</f>
        <v>W5</v>
      </c>
      <c r="G17" s="44"/>
      <c r="H17" s="19">
        <v>1</v>
      </c>
      <c r="I17" s="47">
        <f>IF(H17="","",IF(ROW()=8,Dashboard!$B$3,IF(G17="",IFERROR(WORKDAY(J16,1,offday[Date]),"Check Predecessor"),IFERROR(WORKDAY(INDEX($J$8:$J$203,MATCH(G17,$A$8:$A$203,0)),1,offday[Date]),"Check Predecessor"))))</f>
        <v>46206</v>
      </c>
      <c r="J17" s="48">
        <f>IF(H17="","",IF(ISNUMBER(I17),WORKDAY(I17,H17-1,offday[Date]),"Check Predecessor"))</f>
        <v>46206</v>
      </c>
      <c r="K17" s="47"/>
      <c r="L17" s="48"/>
      <c r="M17" s="49" t="str">
        <f t="shared" ca="1" si="0"/>
        <v>Not Started</v>
      </c>
      <c r="N17" s="20">
        <f ca="1">IFERROR(IF(LEFT(M17,9)="Completed",1,IF(OR(M17="Not Started",M17="Due to Start"),0,IF(OR(M17="In Progress",M17="Delayed"),IF(K17="",0,MIN(0.99,NETWORKDAYS(K17,TODAY(),offday[Date])/MAX(1,NETWORKDAYS(K17,J17,offday[Date])))),0))),"")</f>
        <v>0</v>
      </c>
      <c r="O17" s="21" t="str">
        <f ca="1">IFERROR(IF(NOT(ISNUMBER(J17)),"",IF(AND(L17&lt;&gt;"",ISNUMBER(L17),L17&lt;=TODAY()),MAX(0,NETWORKDAYS(J17,L17,offday[Date])-1),IF(TODAY()&gt;J17,MAX(0,NETWORKDAYS(J17,TODAY(),offday[Date])-1),"-"))),"-")</f>
        <v>-</v>
      </c>
      <c r="P17" s="21">
        <f>IF(OR(NOT(ISNUMBER(I17)),NOT(ISNUMBER(J17))),"",(J17-I17+1)-NETWORKDAYS(I17,J17,offday[Date]))</f>
        <v>0</v>
      </c>
      <c r="Q17" s="35" t="s">
        <v>158</v>
      </c>
      <c r="R17" s="36"/>
    </row>
    <row r="18" spans="1:18" ht="21.75" customHeight="1" x14ac:dyDescent="0.3">
      <c r="A18" s="18">
        <v>11</v>
      </c>
      <c r="B18" s="28" t="s">
        <v>143</v>
      </c>
      <c r="C18" s="29" t="s">
        <v>67</v>
      </c>
      <c r="D18" s="31" t="s">
        <v>68</v>
      </c>
      <c r="E18" s="29" t="str">
        <f>IF(ISNUMBER(I18),"W"&amp;MAX(0,INT((NETWORKDAYS(Dashboard!$B$3,I18,offday[Date])-1)/5)),"")</f>
        <v>W6</v>
      </c>
      <c r="F18" s="44" t="str">
        <f>IF(ISNUMBER(J18),"W"&amp;MAX(0,INT((NETWORKDAYS(Dashboard!$B$3,J18,offday[Date])-1)/5)),"")</f>
        <v>W6</v>
      </c>
      <c r="G18" s="44"/>
      <c r="H18" s="19">
        <v>2</v>
      </c>
      <c r="I18" s="47">
        <f>IF(H18="","",IF(ROW()=8,Dashboard!$B$3,IF(G18="",IFERROR(WORKDAY(J17,1,offday[Date]),"Check Predecessor"),IFERROR(WORKDAY(INDEX($J$8:$J$203,MATCH(G18,$A$8:$A$203,0)),1,offday[Date]),"Check Predecessor"))))</f>
        <v>46209</v>
      </c>
      <c r="J18" s="48">
        <f>IF(H18="","",IF(ISNUMBER(I18),WORKDAY(I18,H18-1,offday[Date]),"Check Predecessor"))</f>
        <v>46210</v>
      </c>
      <c r="K18" s="47"/>
      <c r="L18" s="48"/>
      <c r="M18" s="49" t="str">
        <f t="shared" ca="1" si="0"/>
        <v>Not Started</v>
      </c>
      <c r="N18" s="20">
        <f ca="1">IFERROR(IF(LEFT(M18,9)="Completed",1,IF(OR(M18="Not Started",M18="Due to Start"),0,IF(OR(M18="In Progress",M18="Delayed"),IF(K18="",0,MIN(0.99,NETWORKDAYS(K18,TODAY(),offday[Date])/MAX(1,NETWORKDAYS(K18,J18,offday[Date])))),0))),"")</f>
        <v>0</v>
      </c>
      <c r="O18" s="21" t="str">
        <f ca="1">IFERROR(IF(NOT(ISNUMBER(J18)),"",IF(AND(L18&lt;&gt;"",ISNUMBER(L18),L18&lt;=TODAY()),MAX(0,NETWORKDAYS(J18,L18,offday[Date])-1),IF(TODAY()&gt;J18,MAX(0,NETWORKDAYS(J18,TODAY(),offday[Date])-1),"-"))),"-")</f>
        <v>-</v>
      </c>
      <c r="P18" s="21">
        <f>IF(OR(NOT(ISNUMBER(I18)),NOT(ISNUMBER(J18))),"",(J18-I18+1)-NETWORKDAYS(I18,J18,offday[Date]))</f>
        <v>0</v>
      </c>
      <c r="Q18" s="33" t="s">
        <v>69</v>
      </c>
      <c r="R18" s="34"/>
    </row>
    <row r="19" spans="1:18" ht="21.75" customHeight="1" x14ac:dyDescent="0.3">
      <c r="A19" s="18">
        <v>12</v>
      </c>
      <c r="B19" s="28" t="s">
        <v>143</v>
      </c>
      <c r="C19" s="29" t="s">
        <v>70</v>
      </c>
      <c r="D19" s="32" t="s">
        <v>71</v>
      </c>
      <c r="E19" s="29" t="str">
        <f>IF(ISNUMBER(I19),"W"&amp;MAX(0,INT((NETWORKDAYS(Dashboard!$B$3,I19,offday[Date])-1)/5)),"")</f>
        <v>W6</v>
      </c>
      <c r="F19" s="44" t="str">
        <f>IF(ISNUMBER(J19),"W"&amp;MAX(0,INT((NETWORKDAYS(Dashboard!$B$3,J19,offday[Date])-1)/5)),"")</f>
        <v>W7</v>
      </c>
      <c r="G19" s="44"/>
      <c r="H19" s="19">
        <v>4</v>
      </c>
      <c r="I19" s="47">
        <f>IF(H19="","",IF(ROW()=8,Dashboard!$B$3,IF(G19="",IFERROR(WORKDAY(J18,1,offday[Date]),"Check Predecessor"),IFERROR(WORKDAY(INDEX($J$8:$J$203,MATCH(G19,$A$8:$A$203,0)),1,offday[Date]),"Check Predecessor"))))</f>
        <v>46211</v>
      </c>
      <c r="J19" s="48">
        <f>IF(H19="","",IF(ISNUMBER(I19),WORKDAY(I19,H19-1,offday[Date]),"Check Predecessor"))</f>
        <v>46216</v>
      </c>
      <c r="K19" s="47"/>
      <c r="L19" s="48"/>
      <c r="M19" s="49" t="str">
        <f t="shared" ca="1" si="0"/>
        <v>Not Started</v>
      </c>
      <c r="N19" s="20">
        <f ca="1">IFERROR(IF(LEFT(M19,9)="Completed",1,IF(OR(M19="Not Started",M19="Due to Start"),0,IF(OR(M19="In Progress",M19="Delayed"),IF(K19="",0,MIN(0.99,NETWORKDAYS(K19,TODAY(),offday[Date])/MAX(1,NETWORKDAYS(K19,J19,offday[Date])))),0))),"")</f>
        <v>0</v>
      </c>
      <c r="O19" s="21" t="str">
        <f ca="1">IFERROR(IF(NOT(ISNUMBER(J19)),"",IF(AND(L19&lt;&gt;"",ISNUMBER(L19),L19&lt;=TODAY()),MAX(0,NETWORKDAYS(J19,L19,offday[Date])-1),IF(TODAY()&gt;J19,MAX(0,NETWORKDAYS(J19,TODAY(),offday[Date])-1),"-"))),"-")</f>
        <v>-</v>
      </c>
      <c r="P19" s="21">
        <f>IF(OR(NOT(ISNUMBER(I19)),NOT(ISNUMBER(J19))),"",(J19-I19+1)-NETWORKDAYS(I19,J19,offday[Date]))</f>
        <v>2</v>
      </c>
      <c r="Q19" s="35" t="s">
        <v>72</v>
      </c>
      <c r="R19" s="36"/>
    </row>
    <row r="20" spans="1:18" ht="21.75" customHeight="1" x14ac:dyDescent="0.3">
      <c r="A20" s="18">
        <v>13</v>
      </c>
      <c r="B20" s="28" t="s">
        <v>144</v>
      </c>
      <c r="C20" s="29" t="s">
        <v>38</v>
      </c>
      <c r="D20" s="31" t="s">
        <v>75</v>
      </c>
      <c r="E20" s="29" t="str">
        <f>IF(ISNUMBER(I20),"W"&amp;MAX(0,INT((NETWORKDAYS(Dashboard!$B$3,I20,offday[Date])-1)/5)),"")</f>
        <v>W4</v>
      </c>
      <c r="F20" s="44" t="str">
        <f>IF(ISNUMBER(J20),"W"&amp;MAX(0,INT((NETWORKDAYS(Dashboard!$B$3,J20,offday[Date])-1)/5)),"")</f>
        <v>W4</v>
      </c>
      <c r="G20" s="44">
        <v>4</v>
      </c>
      <c r="H20" s="19">
        <v>4</v>
      </c>
      <c r="I20" s="47">
        <f>IF(H20="","",IF(ROW()=8,Dashboard!$B$3,IF(G20="",IFERROR(WORKDAY(J19,1,offday[Date]),"Check Predecessor"),IFERROR(WORKDAY(INDEX($J$8:$J$203,MATCH(G20,$A$8:$A$203,0)),1,offday[Date]),"Check Predecessor"))))</f>
        <v>46191</v>
      </c>
      <c r="J20" s="48">
        <f>IF(H20="","",IF(ISNUMBER(I20),WORKDAY(I20,H20-1,offday[Date]),"Check Predecessor"))</f>
        <v>46196</v>
      </c>
      <c r="K20" s="47"/>
      <c r="L20" s="48"/>
      <c r="M20" s="49" t="str">
        <f t="shared" ca="1" si="0"/>
        <v>Not Started</v>
      </c>
      <c r="N20" s="20">
        <f ca="1">IFERROR(IF(LEFT(M20,9)="Completed",1,IF(OR(M20="Not Started",M20="Due to Start"),0,IF(OR(M20="In Progress",M20="Delayed"),IF(K20="",0,MIN(0.99,NETWORKDAYS(K20,TODAY(),offday[Date])/MAX(1,NETWORKDAYS(K20,J20,offday[Date])))),0))),"")</f>
        <v>0</v>
      </c>
      <c r="O20" s="21" t="str">
        <f ca="1">IFERROR(IF(NOT(ISNUMBER(J20)),"",IF(AND(L20&lt;&gt;"",ISNUMBER(L20),L20&lt;=TODAY()),MAX(0,NETWORKDAYS(J20,L20,offday[Date])-1),IF(TODAY()&gt;J20,MAX(0,NETWORKDAYS(J20,TODAY(),offday[Date])-1),"-"))),"-")</f>
        <v>-</v>
      </c>
      <c r="P20" s="21">
        <f>IF(OR(NOT(ISNUMBER(I20)),NOT(ISNUMBER(J20))),"",(J20-I20+1)-NETWORKDAYS(I20,J20,offday[Date]))</f>
        <v>2</v>
      </c>
      <c r="Q20" s="33" t="s">
        <v>76</v>
      </c>
      <c r="R20" s="34"/>
    </row>
    <row r="21" spans="1:18" ht="21.75" customHeight="1" x14ac:dyDescent="0.3">
      <c r="A21" s="18">
        <v>14</v>
      </c>
      <c r="B21" s="28" t="s">
        <v>144</v>
      </c>
      <c r="C21" s="29" t="s">
        <v>38</v>
      </c>
      <c r="D21" s="32" t="s">
        <v>77</v>
      </c>
      <c r="E21" s="29" t="str">
        <f>IF(ISNUMBER(I21),"W"&amp;MAX(0,INT((NETWORKDAYS(Dashboard!$B$3,I21,offday[Date])-1)/5)),"")</f>
        <v>W5</v>
      </c>
      <c r="F21" s="44" t="str">
        <f>IF(ISNUMBER(J21),"W"&amp;MAX(0,INT((NETWORKDAYS(Dashboard!$B$3,J21,offday[Date])-1)/5)),"")</f>
        <v>W5</v>
      </c>
      <c r="G21" s="44"/>
      <c r="H21" s="19">
        <v>4</v>
      </c>
      <c r="I21" s="47">
        <f>IF(H21="","",IF(ROW()=8,Dashboard!$B$3,IF(G21="",IFERROR(WORKDAY(J20,1,offday[Date]),"Check Predecessor"),IFERROR(WORKDAY(INDEX($J$8:$J$203,MATCH(G21,$A$8:$A$203,0)),1,offday[Date]),"Check Predecessor"))))</f>
        <v>46202</v>
      </c>
      <c r="J21" s="48">
        <f>IF(H21="","",IF(ISNUMBER(I21),WORKDAY(I21,H21-1,offday[Date]),"Check Predecessor"))</f>
        <v>46205</v>
      </c>
      <c r="K21" s="47"/>
      <c r="L21" s="48"/>
      <c r="M21" s="49" t="str">
        <f t="shared" ca="1" si="0"/>
        <v>Not Started</v>
      </c>
      <c r="N21" s="20">
        <f ca="1">IFERROR(IF(LEFT(M21,9)="Completed",1,IF(OR(M21="Not Started",M21="Due to Start"),0,IF(OR(M21="In Progress",M21="Delayed"),IF(K21="",0,MIN(0.99,NETWORKDAYS(K21,TODAY(),offday[Date])/MAX(1,NETWORKDAYS(K21,J21,offday[Date])))),0))),"")</f>
        <v>0</v>
      </c>
      <c r="O21" s="21" t="str">
        <f ca="1">IFERROR(IF(NOT(ISNUMBER(J21)),"",IF(AND(L21&lt;&gt;"",ISNUMBER(L21),L21&lt;=TODAY()),MAX(0,NETWORKDAYS(J21,L21,offday[Date])-1),IF(TODAY()&gt;J21,MAX(0,NETWORKDAYS(J21,TODAY(),offday[Date])-1),"-"))),"-")</f>
        <v>-</v>
      </c>
      <c r="P21" s="21">
        <f>IF(OR(NOT(ISNUMBER(I21)),NOT(ISNUMBER(J21))),"",(J21-I21+1)-NETWORKDAYS(I21,J21,offday[Date]))</f>
        <v>0</v>
      </c>
      <c r="Q21" s="35"/>
      <c r="R21" s="36"/>
    </row>
    <row r="22" spans="1:18" ht="21.75" customHeight="1" x14ac:dyDescent="0.3">
      <c r="A22" s="18">
        <v>15</v>
      </c>
      <c r="B22" s="28" t="s">
        <v>144</v>
      </c>
      <c r="C22" s="29" t="s">
        <v>38</v>
      </c>
      <c r="D22" s="31" t="s">
        <v>78</v>
      </c>
      <c r="E22" s="29" t="str">
        <f>IF(ISNUMBER(I22),"W"&amp;MAX(0,INT((NETWORKDAYS(Dashboard!$B$3,I22,offday[Date])-1)/5)),"")</f>
        <v>W5</v>
      </c>
      <c r="F22" s="44" t="str">
        <f>IF(ISNUMBER(J22),"W"&amp;MAX(0,INT((NETWORKDAYS(Dashboard!$B$3,J22,offday[Date])-1)/5)),"")</f>
        <v>W6</v>
      </c>
      <c r="G22" s="44"/>
      <c r="H22" s="19">
        <v>2</v>
      </c>
      <c r="I22" s="47">
        <f>IF(H22="","",IF(ROW()=8,Dashboard!$B$3,IF(G22="",IFERROR(WORKDAY(J21,1,offday[Date]),"Check Predecessor"),IFERROR(WORKDAY(INDEX($J$8:$J$203,MATCH(G22,$A$8:$A$203,0)),1,offday[Date]),"Check Predecessor"))))</f>
        <v>46206</v>
      </c>
      <c r="J22" s="48">
        <f>IF(H22="","",IF(ISNUMBER(I22),WORKDAY(I22,H22-1,offday[Date]),"Check Predecessor"))</f>
        <v>46209</v>
      </c>
      <c r="K22" s="47"/>
      <c r="L22" s="48"/>
      <c r="M22" s="49" t="str">
        <f t="shared" ca="1" si="0"/>
        <v>Not Started</v>
      </c>
      <c r="N22" s="20">
        <f ca="1">IFERROR(IF(LEFT(M22,9)="Completed",1,IF(OR(M22="Not Started",M22="Due to Start"),0,IF(OR(M22="In Progress",M22="Delayed"),IF(K22="",0,MIN(0.99,NETWORKDAYS(K22,TODAY(),offday[Date])/MAX(1,NETWORKDAYS(K22,J22,offday[Date])))),0))),"")</f>
        <v>0</v>
      </c>
      <c r="O22" s="21" t="str">
        <f ca="1">IFERROR(IF(NOT(ISNUMBER(J22)),"",IF(AND(L22&lt;&gt;"",ISNUMBER(L22),L22&lt;=TODAY()),MAX(0,NETWORKDAYS(J22,L22,offday[Date])-1),IF(TODAY()&gt;J22,MAX(0,NETWORKDAYS(J22,TODAY(),offday[Date])-1),"-"))),"-")</f>
        <v>-</v>
      </c>
      <c r="P22" s="21">
        <f>IF(OR(NOT(ISNUMBER(I22)),NOT(ISNUMBER(J22))),"",(J22-I22+1)-NETWORKDAYS(I22,J22,offday[Date]))</f>
        <v>2</v>
      </c>
      <c r="Q22" s="33"/>
      <c r="R22" s="34"/>
    </row>
    <row r="23" spans="1:18" ht="64.95" customHeight="1" x14ac:dyDescent="0.3">
      <c r="A23" s="18">
        <v>16</v>
      </c>
      <c r="B23" s="28" t="s">
        <v>145</v>
      </c>
      <c r="C23" s="29" t="s">
        <v>36</v>
      </c>
      <c r="D23" s="31" t="s">
        <v>73</v>
      </c>
      <c r="E23" s="29" t="str">
        <f>IF(ISNUMBER(I23),"W"&amp;MAX(0,INT((NETWORKDAYS(Dashboard!$B$3,I23,offday[Date])-1)/5)),"")</f>
        <v>W4</v>
      </c>
      <c r="F23" s="44" t="str">
        <f>IF(ISNUMBER(J23),"W"&amp;MAX(0,INT((NETWORKDAYS(Dashboard!$B$3,J23,offday[Date])-1)/5)),"")</f>
        <v>W5</v>
      </c>
      <c r="G23" s="44">
        <v>4</v>
      </c>
      <c r="H23" s="19">
        <v>7</v>
      </c>
      <c r="I23" s="47">
        <f>IF(H23="","",IF(ROW()=8,Dashboard!$B$3,IF(G23="",IFERROR(WORKDAY(J22,1,offday[Date]),"Check Predecessor"),IFERROR(WORKDAY(INDEX($J$8:$J$203,MATCH(G23,$A$8:$A$203,0)),1,offday[Date]),"Check Predecessor"))))</f>
        <v>46191</v>
      </c>
      <c r="J23" s="48">
        <f>IF(H23="","",IF(ISNUMBER(I23),WORKDAY(I23,H23-1,offday[Date]),"Check Predecessor"))</f>
        <v>46204</v>
      </c>
      <c r="K23" s="47"/>
      <c r="L23" s="48"/>
      <c r="M23" s="49" t="str">
        <f t="shared" ca="1" si="0"/>
        <v>Not Started</v>
      </c>
      <c r="N23" s="20">
        <f ca="1">IFERROR(IF(LEFT(M23,9)="Completed",1,IF(OR(M23="Not Started",M23="Due to Start"),0,IF(OR(M23="In Progress",M23="Delayed"),IF(K23="",0,MIN(0.99,NETWORKDAYS(K23,TODAY(),offday[Date])/MAX(1,NETWORKDAYS(K23,J23,offday[Date])))),0))),"")</f>
        <v>0</v>
      </c>
      <c r="O23" s="21" t="str">
        <f ca="1">IFERROR(IF(NOT(ISNUMBER(J23)),"",IF(AND(L23&lt;&gt;"",ISNUMBER(L23),L23&lt;=TODAY()),MAX(0,NETWORKDAYS(J23,L23,offday[Date])-1),IF(TODAY()&gt;J23,MAX(0,NETWORKDAYS(J23,TODAY(),offday[Date])-1),"-"))),"-")</f>
        <v>-</v>
      </c>
      <c r="P23" s="21">
        <f>IF(OR(NOT(ISNUMBER(I23)),NOT(ISNUMBER(J23))),"",(J23-I23+1)-NETWORKDAYS(I23,J23,offday[Date]))</f>
        <v>7</v>
      </c>
      <c r="Q23" s="33" t="s">
        <v>160</v>
      </c>
      <c r="R23" s="34"/>
    </row>
    <row r="24" spans="1:18" ht="21.75" customHeight="1" x14ac:dyDescent="0.3">
      <c r="A24" s="18">
        <v>17</v>
      </c>
      <c r="B24" s="28" t="s">
        <v>145</v>
      </c>
      <c r="C24" s="29" t="s">
        <v>36</v>
      </c>
      <c r="D24" s="32" t="s">
        <v>74</v>
      </c>
      <c r="E24" s="29" t="str">
        <f>IF(ISNUMBER(I24),"W"&amp;MAX(0,INT((NETWORKDAYS(Dashboard!$B$3,I24,offday[Date])-1)/5)),"")</f>
        <v>W5</v>
      </c>
      <c r="F24" s="44" t="str">
        <f>IF(ISNUMBER(J24),"W"&amp;MAX(0,INT((NETWORKDAYS(Dashboard!$B$3,J24,offday[Date])-1)/5)),"")</f>
        <v>W6</v>
      </c>
      <c r="G24" s="44"/>
      <c r="H24" s="19">
        <v>3</v>
      </c>
      <c r="I24" s="47">
        <f>IF(H24="","",IF(ROW()=8,Dashboard!$B$3,IF(G24="",IFERROR(WORKDAY(J23,1,offday[Date]),"Check Predecessor"),IFERROR(WORKDAY(INDEX($J$8:$J$203,MATCH(G24,$A$8:$A$203,0)),1,offday[Date]),"Check Predecessor"))))</f>
        <v>46205</v>
      </c>
      <c r="J24" s="48">
        <f>IF(H24="","",IF(ISNUMBER(I24),WORKDAY(I24,H24-1,offday[Date]),"Check Predecessor"))</f>
        <v>46209</v>
      </c>
      <c r="K24" s="47"/>
      <c r="L24" s="48"/>
      <c r="M24" s="49" t="str">
        <f t="shared" ca="1" si="0"/>
        <v>Not Started</v>
      </c>
      <c r="N24" s="20">
        <f ca="1">IFERROR(IF(LEFT(M24,9)="Completed",1,IF(OR(M24="Not Started",M24="Due to Start"),0,IF(OR(M24="In Progress",M24="Delayed"),IF(K24="",0,MIN(0.99,NETWORKDAYS(K24,TODAY(),offday[Date])/MAX(1,NETWORKDAYS(K24,J24,offday[Date])))),0))),"")</f>
        <v>0</v>
      </c>
      <c r="O24" s="21" t="str">
        <f ca="1">IFERROR(IF(NOT(ISNUMBER(J24)),"",IF(AND(L24&lt;&gt;"",ISNUMBER(L24),L24&lt;=TODAY()),MAX(0,NETWORKDAYS(J24,L24,offday[Date])-1),IF(TODAY()&gt;J24,MAX(0,NETWORKDAYS(J24,TODAY(),offday[Date])-1),"-"))),"-")</f>
        <v>-</v>
      </c>
      <c r="P24" s="21">
        <f>IF(OR(NOT(ISNUMBER(I24)),NOT(ISNUMBER(J24))),"",(J24-I24+1)-NETWORKDAYS(I24,J24,offday[Date]))</f>
        <v>2</v>
      </c>
      <c r="Q24" s="35"/>
      <c r="R24" s="36"/>
    </row>
    <row r="25" spans="1:18" ht="21.75" customHeight="1" x14ac:dyDescent="0.3">
      <c r="A25" s="18">
        <v>18</v>
      </c>
      <c r="B25" s="28" t="s">
        <v>25</v>
      </c>
      <c r="C25" s="29" t="s">
        <v>37</v>
      </c>
      <c r="D25" s="37" t="s">
        <v>79</v>
      </c>
      <c r="E25" s="29" t="str">
        <f>IF(ISNUMBER(I25),"W"&amp;MAX(0,INT((NETWORKDAYS(Dashboard!$B$3,I25,offday[Date])-1)/5)),"")</f>
        <v>W6</v>
      </c>
      <c r="F25" s="44" t="str">
        <f>IF(ISNUMBER(J25),"W"&amp;MAX(0,INT((NETWORKDAYS(Dashboard!$B$3,J25,offday[Date])-1)/5)),"")</f>
        <v>W6</v>
      </c>
      <c r="G25" s="44">
        <v>17</v>
      </c>
      <c r="H25" s="19">
        <v>3</v>
      </c>
      <c r="I25" s="47">
        <f>IF(H25="","",IF(ROW()=8,Dashboard!$B$3,IF(G25="",IFERROR(WORKDAY(J24,1,offday[Date]),"Check Predecessor"),IFERROR(WORKDAY(INDEX($J$8:$J$203,MATCH(G25,$A$8:$A$203,0)),1,offday[Date]),"Check Predecessor"))))</f>
        <v>46210</v>
      </c>
      <c r="J25" s="48">
        <f>IF(H25="","",IF(ISNUMBER(I25),WORKDAY(I25,H25-1,offday[Date]),"Check Predecessor"))</f>
        <v>46212</v>
      </c>
      <c r="K25" s="47"/>
      <c r="L25" s="48"/>
      <c r="M25" s="49" t="str">
        <f t="shared" ca="1" si="0"/>
        <v>Not Started</v>
      </c>
      <c r="N25" s="20">
        <f ca="1">IFERROR(IF(LEFT(M25,9)="Completed",1,IF(OR(M25="Not Started",M25="Due to Start"),0,IF(OR(M25="In Progress",M25="Delayed"),IF(K25="",0,MIN(0.99,NETWORKDAYS(K25,TODAY(),offday[Date])/MAX(1,NETWORKDAYS(K25,J25,offday[Date])))),0))),"")</f>
        <v>0</v>
      </c>
      <c r="O25" s="21" t="str">
        <f ca="1">IFERROR(IF(NOT(ISNUMBER(J25)),"",IF(AND(L25&lt;&gt;"",ISNUMBER(L25),L25&lt;=TODAY()),MAX(0,NETWORKDAYS(J25,L25,offday[Date])-1),IF(TODAY()&gt;J25,MAX(0,NETWORKDAYS(J25,TODAY(),offday[Date])-1),"-"))),"-")</f>
        <v>-</v>
      </c>
      <c r="P25" s="21">
        <f>IF(OR(NOT(ISNUMBER(I25)),NOT(ISNUMBER(J25))),"",(J25-I25+1)-NETWORKDAYS(I25,J25,offday[Date]))</f>
        <v>0</v>
      </c>
      <c r="Q25" s="33"/>
      <c r="R25" s="34"/>
    </row>
    <row r="26" spans="1:18" ht="21.75" customHeight="1" x14ac:dyDescent="0.3">
      <c r="A26" s="18">
        <v>19</v>
      </c>
      <c r="B26" s="28" t="s">
        <v>25</v>
      </c>
      <c r="C26" s="29" t="s">
        <v>37</v>
      </c>
      <c r="D26" s="37" t="s">
        <v>80</v>
      </c>
      <c r="E26" s="29" t="str">
        <f>IF(ISNUMBER(I26),"W"&amp;MAX(0,INT((NETWORKDAYS(Dashboard!$B$3,I26,offday[Date])-1)/5)),"")</f>
        <v>W6</v>
      </c>
      <c r="F26" s="44" t="str">
        <f>IF(ISNUMBER(J26),"W"&amp;MAX(0,INT((NETWORKDAYS(Dashboard!$B$3,J26,offday[Date])-1)/5)),"")</f>
        <v>W8</v>
      </c>
      <c r="G26" s="44"/>
      <c r="H26" s="19">
        <v>8</v>
      </c>
      <c r="I26" s="47">
        <f>IF(H26="","",IF(ROW()=8,Dashboard!$B$3,IF(G26="",IFERROR(WORKDAY(J25,1,offday[Date]),"Check Predecessor"),IFERROR(WORKDAY(INDEX($J$8:$J$203,MATCH(G26,$A$8:$A$203,0)),1,offday[Date]),"Check Predecessor"))))</f>
        <v>46213</v>
      </c>
      <c r="J26" s="48">
        <f>IF(H26="","",IF(ISNUMBER(I26),WORKDAY(I26,H26-1,offday[Date]),"Check Predecessor"))</f>
        <v>46224</v>
      </c>
      <c r="K26" s="47"/>
      <c r="L26" s="48"/>
      <c r="M26" s="49" t="str">
        <f t="shared" ca="1" si="0"/>
        <v>Not Started</v>
      </c>
      <c r="N26" s="20">
        <f ca="1">IFERROR(IF(LEFT(M26,9)="Completed",1,IF(OR(M26="Not Started",M26="Due to Start"),0,IF(OR(M26="In Progress",M26="Delayed"),IF(K26="",0,MIN(0.99,NETWORKDAYS(K26,TODAY(),offday[Date])/MAX(1,NETWORKDAYS(K26,J26,offday[Date])))),0))),"")</f>
        <v>0</v>
      </c>
      <c r="O26" s="21" t="str">
        <f ca="1">IFERROR(IF(NOT(ISNUMBER(J26)),"",IF(AND(L26&lt;&gt;"",ISNUMBER(L26),L26&lt;=TODAY()),MAX(0,NETWORKDAYS(J26,L26,offday[Date])-1),IF(TODAY()&gt;J26,MAX(0,NETWORKDAYS(J26,TODAY(),offday[Date])-1),"-"))),"-")</f>
        <v>-</v>
      </c>
      <c r="P26" s="21">
        <f>IF(OR(NOT(ISNUMBER(I26)),NOT(ISNUMBER(J26))),"",(J26-I26+1)-NETWORKDAYS(I26,J26,offday[Date]))</f>
        <v>4</v>
      </c>
      <c r="Q26" s="33" t="s">
        <v>81</v>
      </c>
      <c r="R26" s="34"/>
    </row>
    <row r="27" spans="1:18" ht="21.75" customHeight="1" x14ac:dyDescent="0.3">
      <c r="A27" s="18">
        <v>20</v>
      </c>
      <c r="B27" s="28" t="s">
        <v>25</v>
      </c>
      <c r="C27" s="29" t="s">
        <v>37</v>
      </c>
      <c r="D27" s="38" t="s">
        <v>82</v>
      </c>
      <c r="E27" s="29" t="str">
        <f>IF(ISNUMBER(I27),"W"&amp;MAX(0,INT((NETWORKDAYS(Dashboard!$B$3,I27,offday[Date])-1)/5)),"")</f>
        <v>W8</v>
      </c>
      <c r="F27" s="44" t="str">
        <f>IF(ISNUMBER(J27),"W"&amp;MAX(0,INT((NETWORKDAYS(Dashboard!$B$3,J27,offday[Date])-1)/5)),"")</f>
        <v>W8</v>
      </c>
      <c r="G27" s="44"/>
      <c r="H27" s="19">
        <v>3</v>
      </c>
      <c r="I27" s="47">
        <f>IF(H27="","",IF(ROW()=8,Dashboard!$B$3,IF(G27="",IFERROR(WORKDAY(J26,1,offday[Date]),"Check Predecessor"),IFERROR(WORKDAY(INDEX($J$8:$J$203,MATCH(G27,$A$8:$A$203,0)),1,offday[Date]),"Check Predecessor"))))</f>
        <v>46225</v>
      </c>
      <c r="J27" s="48">
        <f>IF(H27="","",IF(ISNUMBER(I27),WORKDAY(I27,H27-1,offday[Date]),"Check Predecessor"))</f>
        <v>46227</v>
      </c>
      <c r="K27" s="47"/>
      <c r="L27" s="48"/>
      <c r="M27" s="49" t="str">
        <f t="shared" ca="1" si="0"/>
        <v>Not Started</v>
      </c>
      <c r="N27" s="20">
        <f ca="1">IFERROR(IF(LEFT(M27,9)="Completed",1,IF(OR(M27="Not Started",M27="Due to Start"),0,IF(OR(M27="In Progress",M27="Delayed"),IF(K27="",0,MIN(0.99,NETWORKDAYS(K27,TODAY(),offday[Date])/MAX(1,NETWORKDAYS(K27,J27,offday[Date])))),0))),"")</f>
        <v>0</v>
      </c>
      <c r="O27" s="21" t="str">
        <f ca="1">IFERROR(IF(NOT(ISNUMBER(J27)),"",IF(AND(L27&lt;&gt;"",ISNUMBER(L27),L27&lt;=TODAY()),MAX(0,NETWORKDAYS(J27,L27,offday[Date])-1),IF(TODAY()&gt;J27,MAX(0,NETWORKDAYS(J27,TODAY(),offday[Date])-1),"-"))),"-")</f>
        <v>-</v>
      </c>
      <c r="P27" s="21">
        <f>IF(OR(NOT(ISNUMBER(I27)),NOT(ISNUMBER(J27))),"",(J27-I27+1)-NETWORKDAYS(I27,J27,offday[Date]))</f>
        <v>0</v>
      </c>
      <c r="Q27" s="35"/>
      <c r="R27" s="36"/>
    </row>
    <row r="28" spans="1:18" ht="21.75" customHeight="1" x14ac:dyDescent="0.3">
      <c r="A28" s="18">
        <v>21</v>
      </c>
      <c r="B28" s="28" t="s">
        <v>25</v>
      </c>
      <c r="C28" s="29" t="s">
        <v>37</v>
      </c>
      <c r="D28" s="31" t="s">
        <v>152</v>
      </c>
      <c r="E28" s="29" t="str">
        <f>IF(ISNUMBER(I28),"W"&amp;MAX(0,INT((NETWORKDAYS(Dashboard!$B$3,I28,offday[Date])-1)/5)),"")</f>
        <v>W6</v>
      </c>
      <c r="F28" s="44" t="str">
        <f>IF(ISNUMBER(J28),"W"&amp;MAX(0,INT((NETWORKDAYS(Dashboard!$B$3,J28,offday[Date])-1)/5)),"")</f>
        <v>W6</v>
      </c>
      <c r="G28" s="44">
        <v>17</v>
      </c>
      <c r="H28" s="19">
        <v>3</v>
      </c>
      <c r="I28" s="47">
        <f>IF(H28="","",IF(ROW()=8,Dashboard!$B$3,IF(G28="",IFERROR(WORKDAY(J27,1,offday[Date]),"Check Predecessor"),IFERROR(WORKDAY(INDEX($J$8:$J$203,MATCH(G28,$A$8:$A$203,0)),1,offday[Date]),"Check Predecessor"))))</f>
        <v>46210</v>
      </c>
      <c r="J28" s="48">
        <f>IF(H28="","",IF(ISNUMBER(I28),WORKDAY(I28,H28-1,offday[Date]),"Check Predecessor"))</f>
        <v>46212</v>
      </c>
      <c r="K28" s="47"/>
      <c r="L28" s="48"/>
      <c r="M28" s="49" t="str">
        <f t="shared" ca="1" si="0"/>
        <v>Not Started</v>
      </c>
      <c r="N28" s="20">
        <f ca="1">IFERROR(IF(LEFT(M28,9)="Completed",1,IF(OR(M28="Not Started",M28="Due to Start"),0,IF(OR(M28="In Progress",M28="Delayed"),IF(K28="",0,MIN(0.99,NETWORKDAYS(K28,TODAY(),offday[Date])/MAX(1,NETWORKDAYS(K28,J28,offday[Date])))),0))),"")</f>
        <v>0</v>
      </c>
      <c r="O28" s="21" t="str">
        <f ca="1">IFERROR(IF(NOT(ISNUMBER(J28)),"",IF(AND(L28&lt;&gt;"",ISNUMBER(L28),L28&lt;=TODAY()),MAX(0,NETWORKDAYS(J28,L28,offday[Date])-1),IF(TODAY()&gt;J28,MAX(0,NETWORKDAYS(J28,TODAY(),offday[Date])-1),"-"))),"-")</f>
        <v>-</v>
      </c>
      <c r="P28" s="21">
        <f>IF(OR(NOT(ISNUMBER(I28)),NOT(ISNUMBER(J28))),"",(J28-I28+1)-NETWORKDAYS(I28,J28,offday[Date]))</f>
        <v>0</v>
      </c>
      <c r="Q28" s="33"/>
      <c r="R28" s="34"/>
    </row>
    <row r="29" spans="1:18" ht="21.75" customHeight="1" x14ac:dyDescent="0.3">
      <c r="A29" s="18">
        <v>22</v>
      </c>
      <c r="B29" s="28" t="s">
        <v>25</v>
      </c>
      <c r="C29" s="29" t="s">
        <v>37</v>
      </c>
      <c r="D29" s="31" t="s">
        <v>83</v>
      </c>
      <c r="E29" s="29" t="str">
        <f>IF(ISNUMBER(I29),"W"&amp;MAX(0,INT((NETWORKDAYS(Dashboard!$B$3,I29,offday[Date])-1)/5)),"")</f>
        <v>W6</v>
      </c>
      <c r="F29" s="44" t="str">
        <f>IF(ISNUMBER(J29),"W"&amp;MAX(0,INT((NETWORKDAYS(Dashboard!$B$3,J29,offday[Date])-1)/5)),"")</f>
        <v>W7</v>
      </c>
      <c r="G29" s="44"/>
      <c r="H29" s="19">
        <v>3</v>
      </c>
      <c r="I29" s="47">
        <f>IF(H29="","",IF(ROW()=8,Dashboard!$B$3,IF(G29="",IFERROR(WORKDAY(J28,1,offday[Date]),"Check Predecessor"),IFERROR(WORKDAY(INDEX($J$8:$J$203,MATCH(G29,$A$8:$A$203,0)),1,offday[Date]),"Check Predecessor"))))</f>
        <v>46213</v>
      </c>
      <c r="J29" s="48">
        <f>IF(H29="","",IF(ISNUMBER(I29),WORKDAY(I29,H29-1,offday[Date]),"Check Predecessor"))</f>
        <v>46217</v>
      </c>
      <c r="K29" s="47"/>
      <c r="L29" s="48"/>
      <c r="M29" s="49" t="str">
        <f t="shared" ca="1" si="0"/>
        <v>Not Started</v>
      </c>
      <c r="N29" s="20">
        <f ca="1">IFERROR(IF(LEFT(M29,9)="Completed",1,IF(OR(M29="Not Started",M29="Due to Start"),0,IF(OR(M29="In Progress",M29="Delayed"),IF(K29="",0,MIN(0.99,NETWORKDAYS(K29,TODAY(),offday[Date])/MAX(1,NETWORKDAYS(K29,J29,offday[Date])))),0))),"")</f>
        <v>0</v>
      </c>
      <c r="O29" s="21" t="str">
        <f ca="1">IFERROR(IF(NOT(ISNUMBER(J29)),"",IF(AND(L29&lt;&gt;"",ISNUMBER(L29),L29&lt;=TODAY()),MAX(0,NETWORKDAYS(J29,L29,offday[Date])-1),IF(TODAY()&gt;J29,MAX(0,NETWORKDAYS(J29,TODAY(),offday[Date])-1),"-"))),"-")</f>
        <v>-</v>
      </c>
      <c r="P29" s="21">
        <f>IF(OR(NOT(ISNUMBER(I29)),NOT(ISNUMBER(J29))),"",(J29-I29+1)-NETWORKDAYS(I29,J29,offday[Date]))</f>
        <v>2</v>
      </c>
      <c r="Q29" s="33"/>
      <c r="R29" s="34"/>
    </row>
    <row r="30" spans="1:18" ht="21.75" customHeight="1" x14ac:dyDescent="0.3">
      <c r="A30" s="18">
        <v>23</v>
      </c>
      <c r="B30" s="28" t="s">
        <v>25</v>
      </c>
      <c r="C30" s="29" t="s">
        <v>37</v>
      </c>
      <c r="D30" s="38" t="s">
        <v>84</v>
      </c>
      <c r="E30" s="29" t="str">
        <f>IF(ISNUMBER(I30),"W"&amp;MAX(0,INT((NETWORKDAYS(Dashboard!$B$3,I30,offday[Date])-1)/5)),"")</f>
        <v>W7</v>
      </c>
      <c r="F30" s="44" t="str">
        <f>IF(ISNUMBER(J30),"W"&amp;MAX(0,INT((NETWORKDAYS(Dashboard!$B$3,J30,offday[Date])-1)/5)),"")</f>
        <v>W10</v>
      </c>
      <c r="G30" s="44"/>
      <c r="H30" s="19">
        <v>15</v>
      </c>
      <c r="I30" s="47">
        <f>IF(H30="","",IF(ROW()=8,Dashboard!$B$3,IF(G30="",IFERROR(WORKDAY(J29,1,offday[Date]),"Check Predecessor"),IFERROR(WORKDAY(INDEX($J$8:$J$203,MATCH(G30,$A$8:$A$203,0)),1,offday[Date]),"Check Predecessor"))))</f>
        <v>46218</v>
      </c>
      <c r="J30" s="48">
        <f>IF(H30="","",IF(ISNUMBER(I30),WORKDAY(I30,H30-1,offday[Date]),"Check Predecessor"))</f>
        <v>46238</v>
      </c>
      <c r="K30" s="47"/>
      <c r="L30" s="48"/>
      <c r="M30" s="49" t="str">
        <f t="shared" ca="1" si="0"/>
        <v>Not Started</v>
      </c>
      <c r="N30" s="20">
        <f ca="1">IFERROR(IF(LEFT(M30,9)="Completed",1,IF(OR(M30="Not Started",M30="Due to Start"),0,IF(OR(M30="In Progress",M30="Delayed"),IF(K30="",0,MIN(0.99,NETWORKDAYS(K30,TODAY(),offday[Date])/MAX(1,NETWORKDAYS(K30,J30,offday[Date])))),0))),"")</f>
        <v>0</v>
      </c>
      <c r="O30" s="21" t="str">
        <f ca="1">IFERROR(IF(NOT(ISNUMBER(J30)),"",IF(AND(L30&lt;&gt;"",ISNUMBER(L30),L30&lt;=TODAY()),MAX(0,NETWORKDAYS(J30,L30,offday[Date])-1),IF(TODAY()&gt;J30,MAX(0,NETWORKDAYS(J30,TODAY(),offday[Date])-1),"-"))),"-")</f>
        <v>-</v>
      </c>
      <c r="P30" s="21">
        <f>IF(OR(NOT(ISNUMBER(I30)),NOT(ISNUMBER(J30))),"",(J30-I30+1)-NETWORKDAYS(I30,J30,offday[Date]))</f>
        <v>6</v>
      </c>
      <c r="Q30" s="35" t="s">
        <v>159</v>
      </c>
      <c r="R30" s="36"/>
    </row>
    <row r="31" spans="1:18" ht="21.75" customHeight="1" x14ac:dyDescent="0.3">
      <c r="A31" s="18">
        <v>24</v>
      </c>
      <c r="B31" s="28" t="s">
        <v>25</v>
      </c>
      <c r="C31" s="29" t="s">
        <v>37</v>
      </c>
      <c r="D31" s="31" t="s">
        <v>85</v>
      </c>
      <c r="E31" s="29" t="str">
        <f>IF(ISNUMBER(I31),"W"&amp;MAX(0,INT((NETWORKDAYS(Dashboard!$B$3,I31,offday[Date])-1)/5)),"")</f>
        <v>W10</v>
      </c>
      <c r="F31" s="44" t="str">
        <f>IF(ISNUMBER(J31),"W"&amp;MAX(0,INT((NETWORKDAYS(Dashboard!$B$3,J31,offday[Date])-1)/5)),"")</f>
        <v>W11</v>
      </c>
      <c r="G31" s="44"/>
      <c r="H31" s="19">
        <v>5</v>
      </c>
      <c r="I31" s="47">
        <f>IF(H31="","",IF(ROW()=8,Dashboard!$B$3,IF(G31="",IFERROR(WORKDAY(J30,1,offday[Date]),"Check Predecessor"),IFERROR(WORKDAY(INDEX($J$8:$J$203,MATCH(G31,$A$8:$A$203,0)),1,offday[Date]),"Check Predecessor"))))</f>
        <v>46239</v>
      </c>
      <c r="J31" s="48">
        <f>IF(H31="","",IF(ISNUMBER(I31),WORKDAY(I31,H31-1,offday[Date]),"Check Predecessor"))</f>
        <v>46245</v>
      </c>
      <c r="K31" s="47"/>
      <c r="L31" s="48"/>
      <c r="M31" s="49" t="str">
        <f t="shared" ca="1" si="0"/>
        <v>Not Started</v>
      </c>
      <c r="N31" s="20">
        <f ca="1">IFERROR(IF(LEFT(M31,9)="Completed",1,IF(OR(M31="Not Started",M31="Due to Start"),0,IF(OR(M31="In Progress",M31="Delayed"),IF(K31="",0,MIN(0.99,NETWORKDAYS(K31,TODAY(),offday[Date])/MAX(1,NETWORKDAYS(K31,J31,offday[Date])))),0))),"")</f>
        <v>0</v>
      </c>
      <c r="O31" s="21" t="str">
        <f ca="1">IFERROR(IF(NOT(ISNUMBER(J31)),"",IF(AND(L31&lt;&gt;"",ISNUMBER(L31),L31&lt;=TODAY()),MAX(0,NETWORKDAYS(J31,L31,offday[Date])-1),IF(TODAY()&gt;J31,MAX(0,NETWORKDAYS(J31,TODAY(),offday[Date])-1),"-"))),"-")</f>
        <v>-</v>
      </c>
      <c r="P31" s="21">
        <f>IF(OR(NOT(ISNUMBER(I31)),NOT(ISNUMBER(J31))),"",(J31-I31+1)-NETWORKDAYS(I31,J31,offday[Date]))</f>
        <v>2</v>
      </c>
      <c r="Q31" s="33"/>
      <c r="R31" s="34"/>
    </row>
    <row r="32" spans="1:18" ht="21.75" customHeight="1" x14ac:dyDescent="0.3">
      <c r="A32" s="18">
        <v>25</v>
      </c>
      <c r="B32" s="28" t="s">
        <v>26</v>
      </c>
      <c r="C32" s="30" t="s">
        <v>36</v>
      </c>
      <c r="D32" s="38" t="s">
        <v>86</v>
      </c>
      <c r="E32" s="29" t="str">
        <f>IF(ISNUMBER(I32),"W"&amp;MAX(0,INT((NETWORKDAYS(Dashboard!$B$3,I32,offday[Date])-1)/5)),"")</f>
        <v>W11</v>
      </c>
      <c r="F32" s="44" t="str">
        <f>IF(ISNUMBER(J32),"W"&amp;MAX(0,INT((NETWORKDAYS(Dashboard!$B$3,J32,offday[Date])-1)/5)),"")</f>
        <v>W12</v>
      </c>
      <c r="G32" s="44"/>
      <c r="H32" s="19">
        <v>5</v>
      </c>
      <c r="I32" s="47">
        <f>IF(H32="","",IF(ROW()=8,Dashboard!$B$3,IF(G32="",IFERROR(WORKDAY(J31,1,offday[Date]),"Check Predecessor"),IFERROR(WORKDAY(INDEX($J$8:$J$203,MATCH(G32,$A$8:$A$203,0)),1,offday[Date]),"Check Predecessor"))))</f>
        <v>46246</v>
      </c>
      <c r="J32" s="48">
        <f>IF(H32="","",IF(ISNUMBER(I32),WORKDAY(I32,H32-1,offday[Date]),"Check Predecessor"))</f>
        <v>46252</v>
      </c>
      <c r="K32" s="47"/>
      <c r="L32" s="48"/>
      <c r="M32" s="49" t="str">
        <f t="shared" ca="1" si="0"/>
        <v>Not Started</v>
      </c>
      <c r="N32" s="20">
        <f ca="1">IFERROR(IF(LEFT(M32,9)="Completed",1,IF(OR(M32="Not Started",M32="Due to Start"),0,IF(OR(M32="In Progress",M32="Delayed"),IF(K32="",0,MIN(0.99,NETWORKDAYS(K32,TODAY(),offday[Date])/MAX(1,NETWORKDAYS(K32,J32,offday[Date])))),0))),"")</f>
        <v>0</v>
      </c>
      <c r="O32" s="21" t="str">
        <f ca="1">IFERROR(IF(NOT(ISNUMBER(J32)),"",IF(AND(L32&lt;&gt;"",ISNUMBER(L32),L32&lt;=TODAY()),MAX(0,NETWORKDAYS(J32,L32,offday[Date])-1),IF(TODAY()&gt;J32,MAX(0,NETWORKDAYS(J32,TODAY(),offday[Date])-1),"-"))),"-")</f>
        <v>-</v>
      </c>
      <c r="P32" s="21">
        <f>IF(OR(NOT(ISNUMBER(I32)),NOT(ISNUMBER(J32))),"",(J32-I32+1)-NETWORKDAYS(I32,J32,offday[Date]))</f>
        <v>2</v>
      </c>
      <c r="Q32" s="35"/>
      <c r="R32" s="36"/>
    </row>
    <row r="33" spans="1:18" ht="21.75" customHeight="1" x14ac:dyDescent="0.3">
      <c r="A33" s="18">
        <v>26</v>
      </c>
      <c r="B33" s="28" t="s">
        <v>26</v>
      </c>
      <c r="C33" s="30" t="s">
        <v>36</v>
      </c>
      <c r="D33" s="37" t="s">
        <v>87</v>
      </c>
      <c r="E33" s="29" t="str">
        <f>IF(ISNUMBER(I33),"W"&amp;MAX(0,INT((NETWORKDAYS(Dashboard!$B$3,I33,offday[Date])-1)/5)),"")</f>
        <v>W12</v>
      </c>
      <c r="F33" s="44" t="str">
        <f>IF(ISNUMBER(J33),"W"&amp;MAX(0,INT((NETWORKDAYS(Dashboard!$B$3,J33,offday[Date])-1)/5)),"")</f>
        <v>W12</v>
      </c>
      <c r="G33" s="44"/>
      <c r="H33" s="19">
        <v>1</v>
      </c>
      <c r="I33" s="47">
        <f>IF(H33="","",IF(ROW()=8,Dashboard!$B$3,IF(G33="",IFERROR(WORKDAY(J32,1,offday[Date]),"Check Predecessor"),IFERROR(WORKDAY(INDEX($J$8:$J$203,MATCH(G33,$A$8:$A$203,0)),1,offday[Date]),"Check Predecessor"))))</f>
        <v>46253</v>
      </c>
      <c r="J33" s="48">
        <f>IF(H33="","",IF(ISNUMBER(I33),WORKDAY(I33,H33-1,offday[Date]),"Check Predecessor"))</f>
        <v>46253</v>
      </c>
      <c r="K33" s="47"/>
      <c r="L33" s="48"/>
      <c r="M33" s="49" t="str">
        <f t="shared" ca="1" si="0"/>
        <v>Not Started</v>
      </c>
      <c r="N33" s="20">
        <f ca="1">IFERROR(IF(LEFT(M33,9)="Completed",1,IF(OR(M33="Not Started",M33="Due to Start"),0,IF(OR(M33="In Progress",M33="Delayed"),IF(K33="",0,MIN(0.99,NETWORKDAYS(K33,TODAY(),offday[Date])/MAX(1,NETWORKDAYS(K33,J33,offday[Date])))),0))),"")</f>
        <v>0</v>
      </c>
      <c r="O33" s="21" t="str">
        <f ca="1">IFERROR(IF(NOT(ISNUMBER(J33)),"",IF(AND(L33&lt;&gt;"",ISNUMBER(L33),L33&lt;=TODAY()),MAX(0,NETWORKDAYS(J33,L33,offday[Date])-1),IF(TODAY()&gt;J33,MAX(0,NETWORKDAYS(J33,TODAY(),offday[Date])-1),"-"))),"-")</f>
        <v>-</v>
      </c>
      <c r="P33" s="21">
        <f>IF(OR(NOT(ISNUMBER(I33)),NOT(ISNUMBER(J33))),"",(J33-I33+1)-NETWORKDAYS(I33,J33,offday[Date]))</f>
        <v>0</v>
      </c>
      <c r="Q33" s="33"/>
      <c r="R33" s="34"/>
    </row>
    <row r="34" spans="1:18" ht="21.75" customHeight="1" x14ac:dyDescent="0.3">
      <c r="A34" s="18">
        <v>27</v>
      </c>
      <c r="B34" s="28" t="s">
        <v>26</v>
      </c>
      <c r="C34" s="30" t="s">
        <v>36</v>
      </c>
      <c r="D34" s="32" t="s">
        <v>88</v>
      </c>
      <c r="E34" s="29" t="str">
        <f>IF(ISNUMBER(I34),"W"&amp;MAX(0,INT((NETWORKDAYS(Dashboard!$B$3,I34,offday[Date])-1)/5)),"")</f>
        <v>W12</v>
      </c>
      <c r="F34" s="44" t="str">
        <f>IF(ISNUMBER(J34),"W"&amp;MAX(0,INT((NETWORKDAYS(Dashboard!$B$3,J34,offday[Date])-1)/5)),"")</f>
        <v>W12</v>
      </c>
      <c r="G34" s="44"/>
      <c r="H34" s="19">
        <v>1</v>
      </c>
      <c r="I34" s="47">
        <f>IF(H34="","",IF(ROW()=8,Dashboard!$B$3,IF(G34="",IFERROR(WORKDAY(J33,1,offday[Date]),"Check Predecessor"),IFERROR(WORKDAY(INDEX($J$8:$J$203,MATCH(G34,$A$8:$A$203,0)),1,offday[Date]),"Check Predecessor"))))</f>
        <v>46254</v>
      </c>
      <c r="J34" s="48">
        <f>IF(H34="","",IF(ISNUMBER(I34),WORKDAY(I34,H34-1,offday[Date]),"Check Predecessor"))</f>
        <v>46254</v>
      </c>
      <c r="K34" s="47"/>
      <c r="L34" s="48"/>
      <c r="M34" s="49" t="str">
        <f t="shared" ca="1" si="0"/>
        <v>Not Started</v>
      </c>
      <c r="N34" s="20">
        <f ca="1">IFERROR(IF(LEFT(M34,9)="Completed",1,IF(OR(M34="Not Started",M34="Due to Start"),0,IF(OR(M34="In Progress",M34="Delayed"),IF(K34="",0,MIN(0.99,NETWORKDAYS(K34,TODAY(),offday[Date])/MAX(1,NETWORKDAYS(K34,J34,offday[Date])))),0))),"")</f>
        <v>0</v>
      </c>
      <c r="O34" s="21" t="str">
        <f ca="1">IFERROR(IF(NOT(ISNUMBER(J34)),"",IF(AND(L34&lt;&gt;"",ISNUMBER(L34),L34&lt;=TODAY()),MAX(0,NETWORKDAYS(J34,L34,offday[Date])-1),IF(TODAY()&gt;J34,MAX(0,NETWORKDAYS(J34,TODAY(),offday[Date])-1),"-"))),"-")</f>
        <v>-</v>
      </c>
      <c r="P34" s="21">
        <f>IF(OR(NOT(ISNUMBER(I34)),NOT(ISNUMBER(J34))),"",(J34-I34+1)-NETWORKDAYS(I34,J34,offday[Date]))</f>
        <v>0</v>
      </c>
      <c r="Q34" s="35"/>
      <c r="R34" s="36"/>
    </row>
    <row r="35" spans="1:18" ht="21.75" customHeight="1" x14ac:dyDescent="0.3">
      <c r="A35" s="18">
        <v>28</v>
      </c>
      <c r="B35" s="28" t="s">
        <v>26</v>
      </c>
      <c r="C35" s="30" t="s">
        <v>36</v>
      </c>
      <c r="D35" s="31" t="s">
        <v>89</v>
      </c>
      <c r="E35" s="29" t="str">
        <f>IF(ISNUMBER(I35),"W"&amp;MAX(0,INT((NETWORKDAYS(Dashboard!$B$3,I35,offday[Date])-1)/5)),"")</f>
        <v>W12</v>
      </c>
      <c r="F35" s="44" t="str">
        <f>IF(ISNUMBER(J35),"W"&amp;MAX(0,INT((NETWORKDAYS(Dashboard!$B$3,J35,offday[Date])-1)/5)),"")</f>
        <v>W13</v>
      </c>
      <c r="G35" s="44"/>
      <c r="H35" s="19">
        <v>2</v>
      </c>
      <c r="I35" s="47">
        <f>IF(H35="","",IF(ROW()=8,Dashboard!$B$3,IF(G35="",IFERROR(WORKDAY(J34,1,offday[Date]),"Check Predecessor"),IFERROR(WORKDAY(INDEX($J$8:$J$203,MATCH(G35,$A$8:$A$203,0)),1,offday[Date]),"Check Predecessor"))))</f>
        <v>46255</v>
      </c>
      <c r="J35" s="48">
        <f>IF(H35="","",IF(ISNUMBER(I35),WORKDAY(I35,H35-1,offday[Date]),"Check Predecessor"))</f>
        <v>46259</v>
      </c>
      <c r="K35" s="47"/>
      <c r="L35" s="48"/>
      <c r="M35" s="49" t="str">
        <f t="shared" ca="1" si="0"/>
        <v>Not Started</v>
      </c>
      <c r="N35" s="20">
        <f ca="1">IFERROR(IF(LEFT(M35,9)="Completed",1,IF(OR(M35="Not Started",M35="Due to Start"),0,IF(OR(M35="In Progress",M35="Delayed"),IF(K35="",0,MIN(0.99,NETWORKDAYS(K35,TODAY(),offday[Date])/MAX(1,NETWORKDAYS(K35,J35,offday[Date])))),0))),"")</f>
        <v>0</v>
      </c>
      <c r="O35" s="21" t="str">
        <f ca="1">IFERROR(IF(NOT(ISNUMBER(J35)),"",IF(AND(L35&lt;&gt;"",ISNUMBER(L35),L35&lt;=TODAY()),MAX(0,NETWORKDAYS(J35,L35,offday[Date])-1),IF(TODAY()&gt;J35,MAX(0,NETWORKDAYS(J35,TODAY(),offday[Date])-1),"-"))),"-")</f>
        <v>-</v>
      </c>
      <c r="P35" s="21">
        <f>IF(OR(NOT(ISNUMBER(I35)),NOT(ISNUMBER(J35))),"",(J35-I35+1)-NETWORKDAYS(I35,J35,offday[Date]))</f>
        <v>3</v>
      </c>
      <c r="Q35" s="33"/>
      <c r="R35" s="34"/>
    </row>
    <row r="36" spans="1:18" ht="21.75" customHeight="1" x14ac:dyDescent="0.3">
      <c r="A36" s="18">
        <v>29</v>
      </c>
      <c r="B36" s="28" t="s">
        <v>26</v>
      </c>
      <c r="C36" s="30" t="s">
        <v>36</v>
      </c>
      <c r="D36" s="32" t="s">
        <v>90</v>
      </c>
      <c r="E36" s="29" t="str">
        <f>IF(ISNUMBER(I36),"W"&amp;MAX(0,INT((NETWORKDAYS(Dashboard!$B$3,I36,offday[Date])-1)/5)),"")</f>
        <v>W13</v>
      </c>
      <c r="F36" s="44" t="str">
        <f>IF(ISNUMBER(J36),"W"&amp;MAX(0,INT((NETWORKDAYS(Dashboard!$B$3,J36,offday[Date])-1)/5)),"")</f>
        <v>W13</v>
      </c>
      <c r="G36" s="44"/>
      <c r="H36" s="19">
        <v>2</v>
      </c>
      <c r="I36" s="47">
        <f>IF(H36="","",IF(ROW()=8,Dashboard!$B$3,IF(G36="",IFERROR(WORKDAY(J35,1,offday[Date]),"Check Predecessor"),IFERROR(WORKDAY(INDEX($J$8:$J$203,MATCH(G36,$A$8:$A$203,0)),1,offday[Date]),"Check Predecessor"))))</f>
        <v>46260</v>
      </c>
      <c r="J36" s="48">
        <f>IF(H36="","",IF(ISNUMBER(I36),WORKDAY(I36,H36-1,offday[Date]),"Check Predecessor"))</f>
        <v>46261</v>
      </c>
      <c r="K36" s="47"/>
      <c r="L36" s="48"/>
      <c r="M36" s="49" t="str">
        <f t="shared" ca="1" si="0"/>
        <v>Not Started</v>
      </c>
      <c r="N36" s="20">
        <f ca="1">IFERROR(IF(LEFT(M36,9)="Completed",1,IF(OR(M36="Not Started",M36="Due to Start"),0,IF(OR(M36="In Progress",M36="Delayed"),IF(K36="",0,MIN(0.99,NETWORKDAYS(K36,TODAY(),offday[Date])/MAX(1,NETWORKDAYS(K36,J36,offday[Date])))),0))),"")</f>
        <v>0</v>
      </c>
      <c r="O36" s="21" t="str">
        <f ca="1">IFERROR(IF(NOT(ISNUMBER(J36)),"",IF(AND(L36&lt;&gt;"",ISNUMBER(L36),L36&lt;=TODAY()),MAX(0,NETWORKDAYS(J36,L36,offday[Date])-1),IF(TODAY()&gt;J36,MAX(0,NETWORKDAYS(J36,TODAY(),offday[Date])-1),"-"))),"-")</f>
        <v>-</v>
      </c>
      <c r="P36" s="21">
        <f>IF(OR(NOT(ISNUMBER(I36)),NOT(ISNUMBER(J36))),"",(J36-I36+1)-NETWORKDAYS(I36,J36,offday[Date]))</f>
        <v>0</v>
      </c>
      <c r="Q36" s="35"/>
      <c r="R36" s="36"/>
    </row>
    <row r="37" spans="1:18" ht="21.75" customHeight="1" x14ac:dyDescent="0.3">
      <c r="A37" s="18">
        <v>30</v>
      </c>
      <c r="B37" s="28" t="s">
        <v>27</v>
      </c>
      <c r="C37" s="30" t="s">
        <v>36</v>
      </c>
      <c r="D37" s="32" t="s">
        <v>91</v>
      </c>
      <c r="E37" s="29" t="str">
        <f>IF(ISNUMBER(I37),"W"&amp;MAX(0,INT((NETWORKDAYS(Dashboard!$B$3,I37,offday[Date])-1)/5)),"")</f>
        <v>W13</v>
      </c>
      <c r="F37" s="44" t="str">
        <f>IF(ISNUMBER(J37),"W"&amp;MAX(0,INT((NETWORKDAYS(Dashboard!$B$3,J37,offday[Date])-1)/5)),"")</f>
        <v>W13</v>
      </c>
      <c r="G37" s="44"/>
      <c r="H37" s="19">
        <v>2</v>
      </c>
      <c r="I37" s="47">
        <f>IF(H37="","",IF(ROW()=8,Dashboard!$B$3,IF(G37="",IFERROR(WORKDAY(J36,1,offday[Date]),"Check Predecessor"),IFERROR(WORKDAY(INDEX($J$8:$J$203,MATCH(G37,$A$8:$A$203,0)),1,offday[Date]),"Check Predecessor"))))</f>
        <v>46262</v>
      </c>
      <c r="J37" s="48">
        <f>IF(H37="","",IF(ISNUMBER(I37),WORKDAY(I37,H37-1,offday[Date]),"Check Predecessor"))</f>
        <v>46266</v>
      </c>
      <c r="K37" s="47"/>
      <c r="L37" s="48"/>
      <c r="M37" s="49" t="str">
        <f t="shared" ca="1" si="0"/>
        <v>Not Started</v>
      </c>
      <c r="N37" s="20">
        <f ca="1">IFERROR(IF(LEFT(M37,9)="Completed",1,IF(OR(M37="Not Started",M37="Due to Start"),0,IF(OR(M37="In Progress",M37="Delayed"),IF(K37="",0,MIN(0.99,NETWORKDAYS(K37,TODAY(),offday[Date])/MAX(1,NETWORKDAYS(K37,J37,offday[Date])))),0))),"")</f>
        <v>0</v>
      </c>
      <c r="O37" s="21" t="str">
        <f ca="1">IFERROR(IF(NOT(ISNUMBER(J37)),"",IF(AND(L37&lt;&gt;"",ISNUMBER(L37),L37&lt;=TODAY()),MAX(0,NETWORKDAYS(J37,L37,offday[Date])-1),IF(TODAY()&gt;J37,MAX(0,NETWORKDAYS(J37,TODAY(),offday[Date])-1),"-"))),"-")</f>
        <v>-</v>
      </c>
      <c r="P37" s="21">
        <f>IF(OR(NOT(ISNUMBER(I37)),NOT(ISNUMBER(J37))),"",(J37-I37+1)-NETWORKDAYS(I37,J37,offday[Date]))</f>
        <v>3</v>
      </c>
      <c r="Q37" s="35"/>
      <c r="R37" s="36"/>
    </row>
    <row r="38" spans="1:18" ht="21.75" customHeight="1" x14ac:dyDescent="0.3">
      <c r="A38" s="18">
        <v>31</v>
      </c>
      <c r="B38" s="28" t="s">
        <v>27</v>
      </c>
      <c r="C38" s="30" t="s">
        <v>36</v>
      </c>
      <c r="D38" s="31" t="s">
        <v>92</v>
      </c>
      <c r="E38" s="29" t="str">
        <f>IF(ISNUMBER(I38),"W"&amp;MAX(0,INT((NETWORKDAYS(Dashboard!$B$3,I38,offday[Date])-1)/5)),"")</f>
        <v>W14</v>
      </c>
      <c r="F38" s="44" t="str">
        <f>IF(ISNUMBER(J38),"W"&amp;MAX(0,INT((NETWORKDAYS(Dashboard!$B$3,J38,offday[Date])-1)/5)),"")</f>
        <v>W14</v>
      </c>
      <c r="G38" s="44"/>
      <c r="H38" s="19">
        <v>1</v>
      </c>
      <c r="I38" s="47">
        <f>IF(H38="","",IF(ROW()=8,Dashboard!$B$3,IF(G38="",IFERROR(WORKDAY(J37,1,offday[Date]),"Check Predecessor"),IFERROR(WORKDAY(INDEX($J$8:$J$203,MATCH(G38,$A$8:$A$203,0)),1,offday[Date]),"Check Predecessor"))))</f>
        <v>46267</v>
      </c>
      <c r="J38" s="48">
        <f>IF(H38="","",IF(ISNUMBER(I38),WORKDAY(I38,H38-1,offday[Date]),"Check Predecessor"))</f>
        <v>46267</v>
      </c>
      <c r="K38" s="47"/>
      <c r="L38" s="48"/>
      <c r="M38" s="49" t="str">
        <f t="shared" ca="1" si="0"/>
        <v>Not Started</v>
      </c>
      <c r="N38" s="20">
        <f ca="1">IFERROR(IF(LEFT(M38,9)="Completed",1,IF(OR(M38="Not Started",M38="Due to Start"),0,IF(OR(M38="In Progress",M38="Delayed"),IF(K38="",0,MIN(0.99,NETWORKDAYS(K38,TODAY(),offday[Date])/MAX(1,NETWORKDAYS(K38,J38,offday[Date])))),0))),"")</f>
        <v>0</v>
      </c>
      <c r="O38" s="21" t="str">
        <f ca="1">IFERROR(IF(NOT(ISNUMBER(J38)),"",IF(AND(L38&lt;&gt;"",ISNUMBER(L38),L38&lt;=TODAY()),MAX(0,NETWORKDAYS(J38,L38,offday[Date])-1),IF(TODAY()&gt;J38,MAX(0,NETWORKDAYS(J38,TODAY(),offday[Date])-1),"-"))),"-")</f>
        <v>-</v>
      </c>
      <c r="P38" s="21">
        <f>IF(OR(NOT(ISNUMBER(I38)),NOT(ISNUMBER(J38))),"",(J38-I38+1)-NETWORKDAYS(I38,J38,offday[Date]))</f>
        <v>0</v>
      </c>
      <c r="Q38" s="33"/>
      <c r="R38" s="34"/>
    </row>
    <row r="39" spans="1:18" ht="21.75" customHeight="1" x14ac:dyDescent="0.3">
      <c r="A39" s="18">
        <v>32</v>
      </c>
      <c r="B39" s="28" t="s">
        <v>27</v>
      </c>
      <c r="C39" s="30" t="s">
        <v>36</v>
      </c>
      <c r="D39" s="32" t="s">
        <v>93</v>
      </c>
      <c r="E39" s="29" t="str">
        <f>IF(ISNUMBER(I39),"W"&amp;MAX(0,INT((NETWORKDAYS(Dashboard!$B$3,I39,offday[Date])-1)/5)),"")</f>
        <v>W14</v>
      </c>
      <c r="F39" s="44" t="str">
        <f>IF(ISNUMBER(J39),"W"&amp;MAX(0,INT((NETWORKDAYS(Dashboard!$B$3,J39,offday[Date])-1)/5)),"")</f>
        <v>W14</v>
      </c>
      <c r="G39" s="44"/>
      <c r="H39" s="19">
        <v>1</v>
      </c>
      <c r="I39" s="47">
        <f>IF(H39="","",IF(ROW()=8,Dashboard!$B$3,IF(G39="",IFERROR(WORKDAY(J38,1,offday[Date]),"Check Predecessor"),IFERROR(WORKDAY(INDEX($J$8:$J$203,MATCH(G39,$A$8:$A$203,0)),1,offday[Date]),"Check Predecessor"))))</f>
        <v>46268</v>
      </c>
      <c r="J39" s="48">
        <f>IF(H39="","",IF(ISNUMBER(I39),WORKDAY(I39,H39-1,offday[Date]),"Check Predecessor"))</f>
        <v>46268</v>
      </c>
      <c r="K39" s="47"/>
      <c r="L39" s="48"/>
      <c r="M39" s="49" t="str">
        <f t="shared" ca="1" si="0"/>
        <v>Not Started</v>
      </c>
      <c r="N39" s="20">
        <f ca="1">IFERROR(IF(LEFT(M39,9)="Completed",1,IF(OR(M39="Not Started",M39="Due to Start"),0,IF(OR(M39="In Progress",M39="Delayed"),IF(K39="",0,MIN(0.99,NETWORKDAYS(K39,TODAY(),offday[Date])/MAX(1,NETWORKDAYS(K39,J39,offday[Date])))),0))),"")</f>
        <v>0</v>
      </c>
      <c r="O39" s="21" t="str">
        <f ca="1">IFERROR(IF(NOT(ISNUMBER(J39)),"",IF(AND(L39&lt;&gt;"",ISNUMBER(L39),L39&lt;=TODAY()),MAX(0,NETWORKDAYS(J39,L39,offday[Date])-1),IF(TODAY()&gt;J39,MAX(0,NETWORKDAYS(J39,TODAY(),offday[Date])-1),"-"))),"-")</f>
        <v>-</v>
      </c>
      <c r="P39" s="21">
        <f>IF(OR(NOT(ISNUMBER(I39)),NOT(ISNUMBER(J39))),"",(J39-I39+1)-NETWORKDAYS(I39,J39,offday[Date]))</f>
        <v>0</v>
      </c>
      <c r="Q39" s="35"/>
      <c r="R39" s="36"/>
    </row>
    <row r="40" spans="1:18" ht="21.75" customHeight="1" x14ac:dyDescent="0.3">
      <c r="A40" s="18">
        <v>33</v>
      </c>
      <c r="B40" s="28" t="s">
        <v>27</v>
      </c>
      <c r="C40" s="30" t="s">
        <v>36</v>
      </c>
      <c r="D40" s="31" t="s">
        <v>94</v>
      </c>
      <c r="E40" s="29" t="str">
        <f>IF(ISNUMBER(I40),"W"&amp;MAX(0,INT((NETWORKDAYS(Dashboard!$B$3,I40,offday[Date])-1)/5)),"")</f>
        <v>W14</v>
      </c>
      <c r="F40" s="44" t="str">
        <f>IF(ISNUMBER(J40),"W"&amp;MAX(0,INT((NETWORKDAYS(Dashboard!$B$3,J40,offday[Date])-1)/5)),"")</f>
        <v>W14</v>
      </c>
      <c r="G40" s="44"/>
      <c r="H40" s="19">
        <v>1</v>
      </c>
      <c r="I40" s="47">
        <f>IF(H40="","",IF(ROW()=8,Dashboard!$B$3,IF(G40="",IFERROR(WORKDAY(J39,1,offday[Date]),"Check Predecessor"),IFERROR(WORKDAY(INDEX($J$8:$J$203,MATCH(G40,$A$8:$A$203,0)),1,offday[Date]),"Check Predecessor"))))</f>
        <v>46269</v>
      </c>
      <c r="J40" s="48">
        <f>IF(H40="","",IF(ISNUMBER(I40),WORKDAY(I40,H40-1,offday[Date]),"Check Predecessor"))</f>
        <v>46269</v>
      </c>
      <c r="K40" s="47"/>
      <c r="L40" s="48"/>
      <c r="M40" s="49" t="str">
        <f t="shared" ca="1" si="0"/>
        <v>Not Started</v>
      </c>
      <c r="N40" s="20">
        <f ca="1">IFERROR(IF(LEFT(M40,9)="Completed",1,IF(OR(M40="Not Started",M40="Due to Start"),0,IF(OR(M40="In Progress",M40="Delayed"),IF(K40="",0,MIN(0.99,NETWORKDAYS(K40,TODAY(),offday[Date])/MAX(1,NETWORKDAYS(K40,J40,offday[Date])))),0))),"")</f>
        <v>0</v>
      </c>
      <c r="O40" s="21" t="str">
        <f ca="1">IFERROR(IF(NOT(ISNUMBER(J40)),"",IF(AND(L40&lt;&gt;"",ISNUMBER(L40),L40&lt;=TODAY()),MAX(0,NETWORKDAYS(J40,L40,offday[Date])-1),IF(TODAY()&gt;J40,MAX(0,NETWORKDAYS(J40,TODAY(),offday[Date])-1),"-"))),"-")</f>
        <v>-</v>
      </c>
      <c r="P40" s="21">
        <f>IF(OR(NOT(ISNUMBER(I40)),NOT(ISNUMBER(J40))),"",(J40-I40+1)-NETWORKDAYS(I40,J40,offday[Date]))</f>
        <v>0</v>
      </c>
      <c r="Q40" s="33"/>
      <c r="R40" s="34"/>
    </row>
    <row r="41" spans="1:18" ht="21.75" customHeight="1" x14ac:dyDescent="0.3">
      <c r="A41" s="18">
        <v>34</v>
      </c>
      <c r="B41" s="28" t="s">
        <v>27</v>
      </c>
      <c r="C41" s="30" t="s">
        <v>36</v>
      </c>
      <c r="D41" s="32" t="s">
        <v>95</v>
      </c>
      <c r="E41" s="29" t="str">
        <f>IF(ISNUMBER(I41),"W"&amp;MAX(0,INT((NETWORKDAYS(Dashboard!$B$3,I41,offday[Date])-1)/5)),"")</f>
        <v>W14</v>
      </c>
      <c r="F41" s="44" t="str">
        <f>IF(ISNUMBER(J41),"W"&amp;MAX(0,INT((NETWORKDAYS(Dashboard!$B$3,J41,offday[Date])-1)/5)),"")</f>
        <v>W14</v>
      </c>
      <c r="G41" s="44"/>
      <c r="H41" s="19">
        <v>2</v>
      </c>
      <c r="I41" s="47">
        <f>IF(H41="","",IF(ROW()=8,Dashboard!$B$3,IF(G41="",IFERROR(WORKDAY(J40,1,offday[Date]),"Check Predecessor"),IFERROR(WORKDAY(INDEX($J$8:$J$203,MATCH(G41,$A$8:$A$203,0)),1,offday[Date]),"Check Predecessor"))))</f>
        <v>46272</v>
      </c>
      <c r="J41" s="48">
        <f>IF(H41="","",IF(ISNUMBER(I41),WORKDAY(I41,H41-1,offday[Date]),"Check Predecessor"))</f>
        <v>46273</v>
      </c>
      <c r="K41" s="47"/>
      <c r="L41" s="48"/>
      <c r="M41" s="49" t="str">
        <f t="shared" ca="1" si="0"/>
        <v>Not Started</v>
      </c>
      <c r="N41" s="20">
        <f ca="1">IFERROR(IF(LEFT(M41,9)="Completed",1,IF(OR(M41="Not Started",M41="Due to Start"),0,IF(OR(M41="In Progress",M41="Delayed"),IF(K41="",0,MIN(0.99,NETWORKDAYS(K41,TODAY(),offday[Date])/MAX(1,NETWORKDAYS(K41,J41,offday[Date])))),0))),"")</f>
        <v>0</v>
      </c>
      <c r="O41" s="21" t="str">
        <f ca="1">IFERROR(IF(NOT(ISNUMBER(J41)),"",IF(AND(L41&lt;&gt;"",ISNUMBER(L41),L41&lt;=TODAY()),MAX(0,NETWORKDAYS(J41,L41,offday[Date])-1),IF(TODAY()&gt;J41,MAX(0,NETWORKDAYS(J41,TODAY(),offday[Date])-1),"-"))),"-")</f>
        <v>-</v>
      </c>
      <c r="P41" s="21">
        <f>IF(OR(NOT(ISNUMBER(I41)),NOT(ISNUMBER(J41))),"",(J41-I41+1)-NETWORKDAYS(I41,J41,offday[Date]))</f>
        <v>0</v>
      </c>
      <c r="Q41" s="35"/>
      <c r="R41" s="36"/>
    </row>
    <row r="42" spans="1:18" ht="21.75" customHeight="1" x14ac:dyDescent="0.3">
      <c r="A42" s="18">
        <v>35</v>
      </c>
      <c r="B42" s="28" t="s">
        <v>27</v>
      </c>
      <c r="C42" s="30" t="s">
        <v>36</v>
      </c>
      <c r="D42" s="32" t="s">
        <v>96</v>
      </c>
      <c r="E42" s="29" t="str">
        <f>IF(ISNUMBER(I42),"W"&amp;MAX(0,INT((NETWORKDAYS(Dashboard!$B$3,I42,offday[Date])-1)/5)),"")</f>
        <v>W15</v>
      </c>
      <c r="F42" s="44" t="str">
        <f>IF(ISNUMBER(J42),"W"&amp;MAX(0,INT((NETWORKDAYS(Dashboard!$B$3,J42,offday[Date])-1)/5)),"")</f>
        <v>W15</v>
      </c>
      <c r="G42" s="44"/>
      <c r="H42" s="19">
        <v>1</v>
      </c>
      <c r="I42" s="47">
        <f>IF(H42="","",IF(ROW()=8,Dashboard!$B$3,IF(G42="",IFERROR(WORKDAY(J41,1,offday[Date]),"Check Predecessor"),IFERROR(WORKDAY(INDEX($J$8:$J$203,MATCH(G42,$A$8:$A$203,0)),1,offday[Date]),"Check Predecessor"))))</f>
        <v>46274</v>
      </c>
      <c r="J42" s="48">
        <f>IF(H42="","",IF(ISNUMBER(I42),WORKDAY(I42,H42-1,offday[Date]),"Check Predecessor"))</f>
        <v>46274</v>
      </c>
      <c r="K42" s="47"/>
      <c r="L42" s="48"/>
      <c r="M42" s="49" t="str">
        <f t="shared" ca="1" si="0"/>
        <v>Not Started</v>
      </c>
      <c r="N42" s="20">
        <f ca="1">IFERROR(IF(LEFT(M42,9)="Completed",1,IF(OR(M42="Not Started",M42="Due to Start"),0,IF(OR(M42="In Progress",M42="Delayed"),IF(K42="",0,MIN(0.99,NETWORKDAYS(K42,TODAY(),offday[Date])/MAX(1,NETWORKDAYS(K42,J42,offday[Date])))),0))),"")</f>
        <v>0</v>
      </c>
      <c r="O42" s="21" t="str">
        <f ca="1">IFERROR(IF(NOT(ISNUMBER(J42)),"",IF(AND(L42&lt;&gt;"",ISNUMBER(L42),L42&lt;=TODAY()),MAX(0,NETWORKDAYS(J42,L42,offday[Date])-1),IF(TODAY()&gt;J42,MAX(0,NETWORKDAYS(J42,TODAY(),offday[Date])-1),"-"))),"-")</f>
        <v>-</v>
      </c>
      <c r="P42" s="21">
        <f>IF(OR(NOT(ISNUMBER(I42)),NOT(ISNUMBER(J42))),"",(J42-I42+1)-NETWORKDAYS(I42,J42,offday[Date]))</f>
        <v>0</v>
      </c>
      <c r="Q42" s="35"/>
      <c r="R42" s="36"/>
    </row>
    <row r="43" spans="1:18" ht="21.75" customHeight="1" x14ac:dyDescent="0.3">
      <c r="A43" s="18">
        <v>36</v>
      </c>
      <c r="B43" s="28" t="s">
        <v>28</v>
      </c>
      <c r="C43" s="30" t="s">
        <v>36</v>
      </c>
      <c r="D43" s="32" t="s">
        <v>97</v>
      </c>
      <c r="E43" s="29" t="str">
        <f>IF(ISNUMBER(I43),"W"&amp;MAX(0,INT((NETWORKDAYS(Dashboard!$B$3,I43,offday[Date])-1)/5)),"")</f>
        <v>W15</v>
      </c>
      <c r="F43" s="44" t="str">
        <f>IF(ISNUMBER(J43),"W"&amp;MAX(0,INT((NETWORKDAYS(Dashboard!$B$3,J43,offday[Date])-1)/5)),"")</f>
        <v>W15</v>
      </c>
      <c r="G43" s="44"/>
      <c r="H43" s="19">
        <v>1</v>
      </c>
      <c r="I43" s="47">
        <f>IF(H43="","",IF(ROW()=8,Dashboard!$B$3,IF(G43="",IFERROR(WORKDAY(J42,1,offday[Date]),"Check Predecessor"),IFERROR(WORKDAY(INDEX($J$8:$J$203,MATCH(G43,$A$8:$A$203,0)),1,offday[Date]),"Check Predecessor"))))</f>
        <v>46275</v>
      </c>
      <c r="J43" s="48">
        <f>IF(H43="","",IF(ISNUMBER(I43),WORKDAY(I43,H43-1,offday[Date]),"Check Predecessor"))</f>
        <v>46275</v>
      </c>
      <c r="K43" s="47"/>
      <c r="L43" s="48"/>
      <c r="M43" s="49" t="str">
        <f t="shared" ca="1" si="0"/>
        <v>Not Started</v>
      </c>
      <c r="N43" s="20">
        <f ca="1">IFERROR(IF(LEFT(M43,9)="Completed",1,IF(OR(M43="Not Started",M43="Due to Start"),0,IF(OR(M43="In Progress",M43="Delayed"),IF(K43="",0,MIN(0.99,NETWORKDAYS(K43,TODAY(),offday[Date])/MAX(1,NETWORKDAYS(K43,J43,offday[Date])))),0))),"")</f>
        <v>0</v>
      </c>
      <c r="O43" s="21" t="str">
        <f ca="1">IFERROR(IF(NOT(ISNUMBER(J43)),"",IF(AND(L43&lt;&gt;"",ISNUMBER(L43),L43&lt;=TODAY()),MAX(0,NETWORKDAYS(J43,L43,offday[Date])-1),IF(TODAY()&gt;J43,MAX(0,NETWORKDAYS(J43,TODAY(),offday[Date])-1),"-"))),"-")</f>
        <v>-</v>
      </c>
      <c r="P43" s="21">
        <f>IF(OR(NOT(ISNUMBER(I43)),NOT(ISNUMBER(J43))),"",(J43-I43+1)-NETWORKDAYS(I43,J43,offday[Date]))</f>
        <v>0</v>
      </c>
      <c r="Q43" s="35"/>
      <c r="R43" s="36"/>
    </row>
    <row r="44" spans="1:18" ht="21.75" customHeight="1" x14ac:dyDescent="0.3">
      <c r="A44" s="18">
        <v>37</v>
      </c>
      <c r="B44" s="28" t="s">
        <v>28</v>
      </c>
      <c r="C44" s="30" t="s">
        <v>36</v>
      </c>
      <c r="D44" s="32" t="s">
        <v>98</v>
      </c>
      <c r="E44" s="29" t="str">
        <f>IF(ISNUMBER(I44),"W"&amp;MAX(0,INT((NETWORKDAYS(Dashboard!$B$3,I44,offday[Date])-1)/5)),"")</f>
        <v>W15</v>
      </c>
      <c r="F44" s="44" t="str">
        <f>IF(ISNUMBER(J44),"W"&amp;MAX(0,INT((NETWORKDAYS(Dashboard!$B$3,J44,offday[Date])-1)/5)),"")</f>
        <v>W15</v>
      </c>
      <c r="G44" s="44"/>
      <c r="H44" s="19">
        <v>1</v>
      </c>
      <c r="I44" s="47">
        <f>IF(H44="","",IF(ROW()=8,Dashboard!$B$3,IF(G44="",IFERROR(WORKDAY(J43,1,offday[Date]),"Check Predecessor"),IFERROR(WORKDAY(INDEX($J$8:$J$203,MATCH(G44,$A$8:$A$203,0)),1,offday[Date]),"Check Predecessor"))))</f>
        <v>46276</v>
      </c>
      <c r="J44" s="48">
        <f>IF(H44="","",IF(ISNUMBER(I44),WORKDAY(I44,H44-1,offday[Date]),"Check Predecessor"))</f>
        <v>46276</v>
      </c>
      <c r="K44" s="47"/>
      <c r="L44" s="48"/>
      <c r="M44" s="49" t="str">
        <f t="shared" ca="1" si="0"/>
        <v>Not Started</v>
      </c>
      <c r="N44" s="20">
        <f ca="1">IFERROR(IF(LEFT(M44,9)="Completed",1,IF(OR(M44="Not Started",M44="Due to Start"),0,IF(OR(M44="In Progress",M44="Delayed"),IF(K44="",0,MIN(0.99,NETWORKDAYS(K44,TODAY(),offday[Date])/MAX(1,NETWORKDAYS(K44,J44,offday[Date])))),0))),"")</f>
        <v>0</v>
      </c>
      <c r="O44" s="21" t="str">
        <f ca="1">IFERROR(IF(NOT(ISNUMBER(J44)),"",IF(AND(L44&lt;&gt;"",ISNUMBER(L44),L44&lt;=TODAY()),MAX(0,NETWORKDAYS(J44,L44,offday[Date])-1),IF(TODAY()&gt;J44,MAX(0,NETWORKDAYS(J44,TODAY(),offday[Date])-1),"-"))),"-")</f>
        <v>-</v>
      </c>
      <c r="P44" s="21">
        <f>IF(OR(NOT(ISNUMBER(I44)),NOT(ISNUMBER(J44))),"",(J44-I44+1)-NETWORKDAYS(I44,J44,offday[Date]))</f>
        <v>0</v>
      </c>
      <c r="Q44" s="35"/>
      <c r="R44" s="36"/>
    </row>
    <row r="45" spans="1:18" x14ac:dyDescent="0.3">
      <c r="I45" s="46"/>
      <c r="J45" s="46"/>
      <c r="K45" s="46"/>
      <c r="L45" s="46"/>
      <c r="M45" s="46"/>
    </row>
    <row r="46" spans="1:18" ht="21.75" customHeight="1" x14ac:dyDescent="0.3">
      <c r="A46" s="22" t="s">
        <v>99</v>
      </c>
      <c r="B46" s="22"/>
      <c r="C46" s="22"/>
      <c r="D46" s="22"/>
      <c r="E46" s="22"/>
      <c r="F46" s="22"/>
      <c r="G46" s="22"/>
      <c r="H46" s="23">
        <f>SUM(H8:H44)</f>
        <v>122</v>
      </c>
      <c r="I46" s="23"/>
      <c r="J46" s="22"/>
      <c r="K46" s="22"/>
      <c r="L46" s="22"/>
      <c r="M46" s="22"/>
      <c r="N46" s="24">
        <f ca="1">IFERROR(AVERAGEIF(M8:M261,"&lt;&gt;",N8:N261),0)</f>
        <v>8.0810810810810818E-2</v>
      </c>
      <c r="O46" s="22"/>
      <c r="P46" s="22"/>
      <c r="Q46" s="22"/>
      <c r="R46" s="22"/>
    </row>
  </sheetData>
  <phoneticPr fontId="26" type="noConversion"/>
  <conditionalFormatting sqref="J8:J44">
    <cfRule type="cellIs" dxfId="4" priority="4" operator="equal">
      <formula>"Plan Start Date"</formula>
    </cfRule>
  </conditionalFormatting>
  <conditionalFormatting sqref="K13">
    <cfRule type="cellIs" dxfId="3" priority="3" operator="equal">
      <formula>"Starting Soon"</formula>
    </cfRule>
  </conditionalFormatting>
  <conditionalFormatting sqref="M1:M1048576">
    <cfRule type="containsText" dxfId="2" priority="1" operator="containsText" text="Starts">
      <formula>NOT(ISERROR(SEARCH("Starts",M1)))</formula>
    </cfRule>
    <cfRule type="cellIs" dxfId="1" priority="2" operator="equal">
      <formula>"Starting Soon"</formula>
    </cfRule>
  </conditionalFormatting>
  <conditionalFormatting sqref="M8:M44">
    <cfRule type="cellIs" dxfId="0" priority="5" operator="equal">
      <formula>"In Progress"</formula>
    </cfRule>
  </conditionalFormatting>
  <dataValidations count="2">
    <dataValidation type="list" sqref="M8:M261" xr:uid="{00000000-0002-0000-0200-000000000000}">
      <formula1>"Not Started,In Progress,Complete,Delayed,On Hold"</formula1>
      <formula2>0</formula2>
    </dataValidation>
    <dataValidation type="list" sqref="C8:C261" xr:uid="{00000000-0002-0000-0200-000001000000}">
      <formula1>"UXR Lead,Research Asst,Both,UX Designer,Data Analyst,External,Content Strategist,Accessibility Spec"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  <headerFooter>
    <oddHeader>&amp;L&amp;"Aptos"&amp;10&amp;K000000 RESTRICTED&amp;1#_x000D_</oddHeader>
    <oddFooter>&amp;R_x000D_&amp;1#&amp;"Aptos"&amp;10&amp;K000000 RESTRICTED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2"/>
  <sheetViews>
    <sheetView showGridLines="0" zoomScale="90" zoomScaleNormal="90" workbookViewId="0">
      <selection activeCell="G34" sqref="G34"/>
    </sheetView>
  </sheetViews>
  <sheetFormatPr defaultColWidth="8.6640625" defaultRowHeight="14.4" x14ac:dyDescent="0.3"/>
  <cols>
    <col min="1" max="1" width="16" customWidth="1"/>
    <col min="2" max="2" width="38" customWidth="1"/>
    <col min="3" max="3" width="14" customWidth="1"/>
    <col min="4" max="4" width="12" customWidth="1"/>
  </cols>
  <sheetData>
    <row r="1" spans="1:4" ht="30" customHeight="1" x14ac:dyDescent="0.3">
      <c r="A1" s="89" t="s">
        <v>100</v>
      </c>
      <c r="B1" s="89"/>
      <c r="C1" s="89"/>
      <c r="D1" s="89"/>
    </row>
    <row r="2" spans="1:4" ht="13.5" customHeight="1" x14ac:dyDescent="0.3">
      <c r="A2" s="79" t="s">
        <v>101</v>
      </c>
      <c r="B2" s="79"/>
      <c r="C2" s="79"/>
      <c r="D2" s="79"/>
    </row>
    <row r="3" spans="1:4" ht="21.75" customHeight="1" x14ac:dyDescent="0.3">
      <c r="A3" s="65" t="s">
        <v>102</v>
      </c>
      <c r="B3" s="66" t="s">
        <v>103</v>
      </c>
      <c r="C3" s="66" t="s">
        <v>104</v>
      </c>
      <c r="D3" s="67" t="s">
        <v>105</v>
      </c>
    </row>
    <row r="4" spans="1:4" ht="19.5" customHeight="1" x14ac:dyDescent="0.3">
      <c r="A4" s="61" t="s">
        <v>106</v>
      </c>
      <c r="B4" s="25" t="s">
        <v>107</v>
      </c>
      <c r="C4" s="27">
        <v>2026</v>
      </c>
      <c r="D4" s="63" t="s">
        <v>108</v>
      </c>
    </row>
    <row r="5" spans="1:4" ht="19.5" customHeight="1" x14ac:dyDescent="0.3">
      <c r="A5" s="61">
        <v>46051</v>
      </c>
      <c r="B5" s="25" t="s">
        <v>109</v>
      </c>
      <c r="C5" s="27">
        <v>2026</v>
      </c>
      <c r="D5" s="63" t="s">
        <v>108</v>
      </c>
    </row>
    <row r="6" spans="1:4" ht="19.5" customHeight="1" x14ac:dyDescent="0.3">
      <c r="A6" s="61">
        <v>46052</v>
      </c>
      <c r="B6" s="25" t="s">
        <v>110</v>
      </c>
      <c r="C6" s="27">
        <v>2026</v>
      </c>
      <c r="D6" s="63" t="s">
        <v>111</v>
      </c>
    </row>
    <row r="7" spans="1:4" ht="19.5" customHeight="1" x14ac:dyDescent="0.3">
      <c r="A7" s="61">
        <v>46101</v>
      </c>
      <c r="B7" s="25" t="s">
        <v>112</v>
      </c>
      <c r="C7" s="27">
        <v>2026</v>
      </c>
      <c r="D7" s="63" t="s">
        <v>111</v>
      </c>
    </row>
    <row r="8" spans="1:4" ht="19.5" customHeight="1" x14ac:dyDescent="0.3">
      <c r="A8" s="61">
        <v>46102</v>
      </c>
      <c r="B8" s="25" t="s">
        <v>113</v>
      </c>
      <c r="C8" s="27">
        <v>2026</v>
      </c>
      <c r="D8" s="63" t="s">
        <v>114</v>
      </c>
    </row>
    <row r="9" spans="1:4" ht="19.5" customHeight="1" x14ac:dyDescent="0.3">
      <c r="A9" s="61">
        <v>46104</v>
      </c>
      <c r="B9" s="25" t="s">
        <v>115</v>
      </c>
      <c r="C9" s="27">
        <v>2026</v>
      </c>
      <c r="D9" s="63" t="s">
        <v>116</v>
      </c>
    </row>
    <row r="10" spans="1:4" ht="19.5" customHeight="1" x14ac:dyDescent="0.3">
      <c r="A10" s="61">
        <v>46143</v>
      </c>
      <c r="B10" s="25" t="s">
        <v>117</v>
      </c>
      <c r="C10" s="27">
        <v>2026</v>
      </c>
      <c r="D10" s="63" t="s">
        <v>111</v>
      </c>
    </row>
    <row r="11" spans="1:4" ht="19.5" customHeight="1" x14ac:dyDescent="0.3">
      <c r="A11" s="61">
        <v>46169</v>
      </c>
      <c r="B11" s="25" t="s">
        <v>118</v>
      </c>
      <c r="C11" s="27">
        <v>2026</v>
      </c>
      <c r="D11" s="63" t="s">
        <v>108</v>
      </c>
    </row>
    <row r="12" spans="1:4" ht="19.5" customHeight="1" x14ac:dyDescent="0.3">
      <c r="A12" s="61">
        <v>46173</v>
      </c>
      <c r="B12" s="25" t="s">
        <v>119</v>
      </c>
      <c r="C12" s="27">
        <v>2026</v>
      </c>
      <c r="D12" s="63" t="s">
        <v>120</v>
      </c>
    </row>
    <row r="13" spans="1:4" ht="19.5" customHeight="1" x14ac:dyDescent="0.3">
      <c r="A13" s="61">
        <v>46174</v>
      </c>
      <c r="B13" s="25" t="s">
        <v>121</v>
      </c>
      <c r="C13" s="27">
        <v>2026</v>
      </c>
      <c r="D13" s="63" t="s">
        <v>116</v>
      </c>
    </row>
    <row r="14" spans="1:4" ht="19.5" customHeight="1" x14ac:dyDescent="0.3">
      <c r="A14" s="61">
        <v>46188</v>
      </c>
      <c r="B14" s="25" t="s">
        <v>122</v>
      </c>
      <c r="C14" s="27">
        <v>2026</v>
      </c>
      <c r="D14" s="63" t="s">
        <v>116</v>
      </c>
    </row>
    <row r="15" spans="1:4" ht="19.5" customHeight="1" x14ac:dyDescent="0.3">
      <c r="A15" s="61">
        <v>46258</v>
      </c>
      <c r="B15" s="25" t="s">
        <v>123</v>
      </c>
      <c r="C15" s="27">
        <v>2026</v>
      </c>
      <c r="D15" s="63" t="s">
        <v>116</v>
      </c>
    </row>
    <row r="16" spans="1:4" ht="19.5" customHeight="1" x14ac:dyDescent="0.3">
      <c r="A16" s="61">
        <v>46265</v>
      </c>
      <c r="B16" s="25" t="s">
        <v>124</v>
      </c>
      <c r="C16" s="27">
        <v>2026</v>
      </c>
      <c r="D16" s="63" t="s">
        <v>116</v>
      </c>
    </row>
    <row r="17" spans="1:4" ht="19.5" customHeight="1" x14ac:dyDescent="0.3">
      <c r="A17" s="61">
        <v>46281</v>
      </c>
      <c r="B17" s="25" t="s">
        <v>125</v>
      </c>
      <c r="C17" s="27">
        <v>2026</v>
      </c>
      <c r="D17" s="63" t="s">
        <v>126</v>
      </c>
    </row>
    <row r="18" spans="1:4" ht="19.5" customHeight="1" x14ac:dyDescent="0.3">
      <c r="A18" s="61">
        <v>46334</v>
      </c>
      <c r="B18" s="25" t="s">
        <v>127</v>
      </c>
      <c r="C18" s="27">
        <v>2026</v>
      </c>
      <c r="D18" s="63" t="s">
        <v>120</v>
      </c>
    </row>
    <row r="19" spans="1:4" ht="19.5" customHeight="1" x14ac:dyDescent="0.3">
      <c r="A19" s="61">
        <v>46335</v>
      </c>
      <c r="B19" s="25" t="s">
        <v>128</v>
      </c>
      <c r="C19" s="27">
        <v>2026</v>
      </c>
      <c r="D19" s="63" t="s">
        <v>116</v>
      </c>
    </row>
    <row r="20" spans="1:4" ht="19.5" customHeight="1" x14ac:dyDescent="0.3">
      <c r="A20" s="61">
        <v>46381</v>
      </c>
      <c r="B20" s="25" t="s">
        <v>129</v>
      </c>
      <c r="C20" s="27">
        <v>2026</v>
      </c>
      <c r="D20" s="63" t="s">
        <v>111</v>
      </c>
    </row>
    <row r="21" spans="1:4" ht="19.5" customHeight="1" x14ac:dyDescent="0.3">
      <c r="A21" s="62">
        <v>46150</v>
      </c>
      <c r="B21" s="26" t="s">
        <v>130</v>
      </c>
      <c r="C21" s="26">
        <v>2026</v>
      </c>
      <c r="D21" s="64" t="s">
        <v>111</v>
      </c>
    </row>
    <row r="22" spans="1:4" ht="19.5" customHeight="1" x14ac:dyDescent="0.3">
      <c r="A22" s="62">
        <v>46175</v>
      </c>
      <c r="B22" s="26" t="s">
        <v>131</v>
      </c>
      <c r="C22" s="26">
        <v>2026</v>
      </c>
      <c r="D22" s="64" t="s">
        <v>132</v>
      </c>
    </row>
    <row r="23" spans="1:4" ht="19.5" customHeight="1" x14ac:dyDescent="0.3">
      <c r="A23" s="62">
        <v>46197</v>
      </c>
      <c r="B23" s="26" t="s">
        <v>130</v>
      </c>
      <c r="C23" s="26">
        <v>2026</v>
      </c>
      <c r="D23" s="64" t="s">
        <v>126</v>
      </c>
    </row>
    <row r="24" spans="1:4" ht="19.5" customHeight="1" x14ac:dyDescent="0.3">
      <c r="A24" s="62">
        <v>46198</v>
      </c>
      <c r="B24" s="26" t="s">
        <v>130</v>
      </c>
      <c r="C24" s="26">
        <v>2026</v>
      </c>
      <c r="D24" s="64" t="s">
        <v>108</v>
      </c>
    </row>
    <row r="25" spans="1:4" ht="19.5" customHeight="1" x14ac:dyDescent="0.3">
      <c r="A25" s="62">
        <v>46199</v>
      </c>
      <c r="B25" s="26" t="s">
        <v>130</v>
      </c>
      <c r="C25" s="26">
        <v>2026</v>
      </c>
      <c r="D25" s="64" t="s">
        <v>111</v>
      </c>
    </row>
    <row r="26" spans="1:4" ht="19.5" customHeight="1" x14ac:dyDescent="0.3">
      <c r="A26" s="62">
        <v>46282</v>
      </c>
      <c r="B26" s="26" t="s">
        <v>130</v>
      </c>
      <c r="C26" s="26">
        <v>2026</v>
      </c>
      <c r="D26" s="64" t="s">
        <v>108</v>
      </c>
    </row>
    <row r="27" spans="1:4" ht="19.5" customHeight="1" x14ac:dyDescent="0.3">
      <c r="A27" s="62">
        <v>46283</v>
      </c>
      <c r="B27" s="26" t="s">
        <v>130</v>
      </c>
      <c r="C27" s="26">
        <v>2026</v>
      </c>
      <c r="D27" s="64" t="s">
        <v>111</v>
      </c>
    </row>
    <row r="28" spans="1:4" ht="19.5" customHeight="1" x14ac:dyDescent="0.3">
      <c r="A28" s="62">
        <v>46170</v>
      </c>
      <c r="B28" s="26" t="s">
        <v>146</v>
      </c>
      <c r="C28" s="26">
        <v>2026</v>
      </c>
      <c r="D28" s="64" t="s">
        <v>108</v>
      </c>
    </row>
    <row r="29" spans="1:4" ht="19.5" customHeight="1" x14ac:dyDescent="0.3">
      <c r="A29" s="62">
        <v>46171</v>
      </c>
      <c r="B29" s="26" t="s">
        <v>146</v>
      </c>
      <c r="C29" s="26">
        <v>2026</v>
      </c>
      <c r="D29" s="64" t="s">
        <v>111</v>
      </c>
    </row>
    <row r="30" spans="1:4" ht="19.5" customHeight="1" x14ac:dyDescent="0.3">
      <c r="A30" s="62">
        <v>46183</v>
      </c>
      <c r="B30" s="26" t="s">
        <v>148</v>
      </c>
      <c r="C30" s="26">
        <v>2026</v>
      </c>
      <c r="D30" s="64" t="s">
        <v>126</v>
      </c>
    </row>
    <row r="31" spans="1:4" ht="19.5" customHeight="1" x14ac:dyDescent="0.3">
      <c r="A31" s="62">
        <v>46184</v>
      </c>
      <c r="B31" s="26" t="s">
        <v>148</v>
      </c>
      <c r="C31" s="26">
        <v>2026</v>
      </c>
      <c r="D31" s="64" t="s">
        <v>108</v>
      </c>
    </row>
    <row r="32" spans="1:4" ht="21.75" customHeight="1" x14ac:dyDescent="0.3">
      <c r="A32" s="62">
        <v>46185</v>
      </c>
      <c r="B32" s="68" t="s">
        <v>148</v>
      </c>
      <c r="C32" s="68">
        <v>2026</v>
      </c>
      <c r="D32" s="69" t="s">
        <v>111</v>
      </c>
    </row>
    <row r="34" spans="1:4" ht="21.75" customHeight="1" x14ac:dyDescent="0.3"/>
    <row r="35" spans="1:4" ht="24" customHeight="1" x14ac:dyDescent="0.3"/>
    <row r="36" spans="1:4" ht="24" customHeight="1" x14ac:dyDescent="0.3"/>
    <row r="37" spans="1:4" ht="24" customHeight="1" x14ac:dyDescent="0.3"/>
    <row r="38" spans="1:4" ht="24" customHeight="1" x14ac:dyDescent="0.3"/>
    <row r="48" spans="1:4" x14ac:dyDescent="0.3">
      <c r="A48" s="90" t="s">
        <v>133</v>
      </c>
      <c r="B48" s="90"/>
      <c r="C48" s="90"/>
      <c r="D48" s="90"/>
    </row>
    <row r="49" spans="1:4" x14ac:dyDescent="0.3">
      <c r="A49" s="88" t="s">
        <v>134</v>
      </c>
      <c r="B49" s="88"/>
      <c r="C49" s="87" t="s">
        <v>135</v>
      </c>
      <c r="D49" s="87"/>
    </row>
    <row r="50" spans="1:4" x14ac:dyDescent="0.3">
      <c r="A50" s="86" t="s">
        <v>136</v>
      </c>
      <c r="B50" s="86"/>
      <c r="C50" s="87" t="s">
        <v>137</v>
      </c>
      <c r="D50" s="87"/>
    </row>
    <row r="51" spans="1:4" x14ac:dyDescent="0.3">
      <c r="A51" s="88" t="s">
        <v>138</v>
      </c>
      <c r="B51" s="88"/>
      <c r="C51" s="87" t="s">
        <v>139</v>
      </c>
      <c r="D51" s="87"/>
    </row>
    <row r="52" spans="1:4" x14ac:dyDescent="0.3">
      <c r="A52" s="86" t="s">
        <v>140</v>
      </c>
      <c r="B52" s="86"/>
      <c r="C52" s="87" t="s">
        <v>141</v>
      </c>
      <c r="D52" s="87"/>
    </row>
  </sheetData>
  <mergeCells count="11">
    <mergeCell ref="A1:D1"/>
    <mergeCell ref="A2:D2"/>
    <mergeCell ref="A48:D48"/>
    <mergeCell ref="A49:B49"/>
    <mergeCell ref="C49:D49"/>
    <mergeCell ref="A50:B50"/>
    <mergeCell ref="C50:D50"/>
    <mergeCell ref="A51:B51"/>
    <mergeCell ref="C51:D51"/>
    <mergeCell ref="A52:B52"/>
    <mergeCell ref="C52:D52"/>
  </mergeCells>
  <pageMargins left="0.75" right="0.75" top="1" bottom="1" header="0.511811023622047" footer="0.511811023622047"/>
  <pageSetup paperSize="9" orientation="portrait" horizontalDpi="300" verticalDpi="300"/>
  <headerFooter>
    <oddHeader>&amp;L&amp;"Aptos"&amp;10&amp;K000000 RESTRICTED&amp;1#_x000D_</oddHeader>
    <oddFooter>&amp;R_x000D_&amp;1#&amp;"Aptos"&amp;10&amp;K000000 RESTRICTED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9E266-1071-4B67-8E69-6958361A115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8C44D007453C48BC7480E65B5B1110" ma:contentTypeVersion="11" ma:contentTypeDescription="Create a new document." ma:contentTypeScope="" ma:versionID="c59be69075c6ccb3a03afdde3b710be4">
  <xsd:schema xmlns:xsd="http://www.w3.org/2001/XMLSchema" xmlns:xs="http://www.w3.org/2001/XMLSchema" xmlns:p="http://schemas.microsoft.com/office/2006/metadata/properties" xmlns:ns2="21fb012c-3cc4-4316-8331-8cf393091fe8" xmlns:ns3="e9962717-a528-425b-9560-bb682aa939cc" targetNamespace="http://schemas.microsoft.com/office/2006/metadata/properties" ma:root="true" ma:fieldsID="48f38dc1e46ac3fda816f0a1cb5de3a3" ns2:_="" ns3:_="">
    <xsd:import namespace="21fb012c-3cc4-4316-8331-8cf393091fe8"/>
    <xsd:import namespace="e9962717-a528-425b-9560-bb682aa939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fb012c-3cc4-4316-8331-8cf393091f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2f5a1cf-1978-4d48-bd47-ad3bab61cd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962717-a528-425b-9560-bb682aa939c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528bd77-8015-48af-86d1-b710b1632cd7}" ma:internalName="TaxCatchAll" ma:showField="CatchAllData" ma:web="e9962717-a528-425b-9560-bb682aa939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1fb012c-3cc4-4316-8331-8cf393091fe8">
      <Terms xmlns="http://schemas.microsoft.com/office/infopath/2007/PartnerControls"/>
    </lcf76f155ced4ddcb4097134ff3c332f>
    <TaxCatchAll xmlns="e9962717-a528-425b-9560-bb682aa939c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A02622-7C22-4A32-B669-12E57B62E8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fb012c-3cc4-4316-8331-8cf393091fe8"/>
    <ds:schemaRef ds:uri="e9962717-a528-425b-9560-bb682aa939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D42CBCF-3861-49B4-A3F9-5143C7D8C932}">
  <ds:schemaRefs>
    <ds:schemaRef ds:uri="http://schemas.microsoft.com/office/2006/metadata/properties"/>
    <ds:schemaRef ds:uri="e9962717-a528-425b-9560-bb682aa939cc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21fb012c-3cc4-4316-8331-8cf393091fe8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D55444-3379-465E-8D13-9D0F86E889A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4b188ad-696e-4d00-b5ab-10c83a56c9d1}" enabled="1" method="Privileged" siteId="{3335e1a2-2058-4baf-b03b-031abf0fc8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Task Tracker</vt:lpstr>
      <vt:lpstr>MY Holidays</vt:lpstr>
      <vt:lpstr>Gantt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Faznur Amalia binti Ahmad Azuwaniza</cp:lastModifiedBy>
  <cp:revision>0</cp:revision>
  <dcterms:created xsi:type="dcterms:W3CDTF">2026-05-04T06:17:00Z</dcterms:created>
  <dcterms:modified xsi:type="dcterms:W3CDTF">2026-06-08T06:51:07Z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0x0101007B8C44D007453C48BC7480E65B5B1110</vt:lpwstr>
  </property>
  <property fmtid="{D5CDD505-2E9C-101B-9397-08002B2CF9AE}" pid="3" name="MediaServiceImageTags">
    <vt:lpwstr/>
  </property>
</Properties>
</file>